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</sheets>
  <calcPr fullCalcOnLoad="1" fullPrecision="1"/>
</workbook>
</file>

<file path=xl/sharedStrings.xml><?xml version="1.0" encoding="utf-8"?>
<sst xmlns="http://schemas.openxmlformats.org/spreadsheetml/2006/main" count="49" uniqueCount="49">
  <si>
    <t>29-05-2026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</si>
  <si>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</si>
  <si>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</si>
  <si>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</si>
  <si>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</si>
  <si>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</si>
  <si>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</si>
  <si>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</si>
  <si>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</si>
  <si>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</si>
  <si>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</si>
  <si>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</si>
  <si>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</si>
  <si>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ADMIN</t>
  </si>
  <si>
    <t>28-05-2026</t>
  </si>
  <si>
    <t>29-05-2026</t>
  </si>
  <si>
    <t>Anand Naliyadhara</t>
  </si>
  <si>
    <t>26-05-2026</t>
  </si>
  <si>
    <t>27-05-2026</t>
  </si>
  <si>
    <t>Asha Prajapati</t>
  </si>
  <si>
    <t>Chirag paneliya</t>
  </si>
  <si>
    <t>Hitesh Satani</t>
  </si>
  <si>
    <t>25-05-2026</t>
  </si>
  <si>
    <t>Jay</t>
  </si>
  <si>
    <t>04-04-2026</t>
  </si>
  <si>
    <t>Nirali kalsara</t>
  </si>
  <si>
    <t>Pankti</t>
  </si>
  <si>
    <t>03-04-2026</t>
  </si>
  <si>
    <t>ParthUSA</t>
  </si>
  <si>
    <t>02-04-2026</t>
  </si>
  <si>
    <t>10-04-2026</t>
  </si>
  <si>
    <t>13-04-2026</t>
  </si>
  <si>
    <t>Portal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</si>
  <si>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</si>
  <si>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</si>
  <si>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</si>
  <si>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</si>
  <si>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</si>
  <si>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</si>
  <si>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</si>
  <si>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</si>
  <si>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</si>
  <si>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</si>
  <si>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</si>
  <si>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</si>
  <si>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</si>
  <si>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Shraddha Patel</t>
  </si>
  <si>
    <t>Total</t>
  </si>
  <si>
    <t>%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</si>
</sst>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7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3" applyFont="1" fillId="5" applyFill="1" borderId="1" applyBorder="1" xfId="0" applyAlignment="1">
      <alignment horizontal="center" vertical="center"/>
    </xf>
    <xf numFmtId="0" fontId="1" applyFont="1" fillId="12" applyFill="1" borderId="1" applyBorder="1" xfId="0" applyAlignment="1">
      <alignment horizontal="center" vertical="center"/>
    </xf>
    <xf numFmtId="0" fontId="1" applyFont="1" fillId="6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1" applyFont="1" fillId="13" applyFill="1" borderId="1" applyBorder="1" xfId="0" applyAlignment="1">
      <alignment horizontal="center" vertical="center"/>
    </xf>
    <xf numFmtId="164" applyNumberFormat="1" fontId="1" applyFont="1" fillId="14" applyFill="1" borderId="1" applyBorder="1" xfId="0" applyAlignment="1">
      <alignment horizontal="center" vertical="center"/>
    </xf>
    <xf numFmtId="165" applyNumberFormat="1" fontId="1" applyFont="1" fillId="1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4" applyNumberFormat="1" fontId="1" applyFont="1" fillId="12" applyFill="1" borderId="1" applyBorder="1" xfId="0" applyAlignment="1">
      <alignment horizontal="center" vertical="center"/>
    </xf>
    <xf numFmtId="165" applyNumberFormat="1" fontId="1" applyFont="1" fillId="12" applyFill="1" borderId="1" applyBorder="1" xfId="0" applyAlignment="1">
      <alignment horizontal="center" vertical="center"/>
    </xf>
    <xf numFmtId="166" applyNumberFormat="1" fontId="1" applyFont="1" fillId="12" applyFill="1" borderId="1" applyBorder="1" xfId="0" applyAlignment="1">
      <alignment horizontal="center" vertical="center"/>
    </xf>
    <xf numFmtId="0" fontId="1" applyFont="1" fillId="14" applyFill="1" borderId="1" applyBorder="1" xfId="0" applyAlignment="1">
      <alignment horizontal="center" vertical="center"/>
    </xf>
    <xf numFmtId="10" applyNumberFormat="1" fontId="1" applyFont="1" fillId="1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8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4370670318603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SUM(B6:B7)</f>
      </c>
      <c r="C5" s="17">
        <f>SUM(C6:C7)</f>
      </c>
      <c r="D5" s="16">
        <f>SUM(D6:D7)</f>
      </c>
      <c r="E5" s="16">
        <f>SUM(E6:E7)</f>
      </c>
      <c r="F5" s="17">
        <f>SUM(F6:F7)</f>
      </c>
      <c r="G5" s="16">
        <f>SUM(G6:G7)</f>
      </c>
      <c r="H5" s="16">
        <f>SUM(H6:H7)</f>
      </c>
      <c r="I5" s="16">
        <f>SUM(I6:I7)</f>
      </c>
      <c r="J5" s="17">
        <f>SUM(J6:J7)</f>
      </c>
      <c r="K5" s="16">
        <f>SUM(K6:K7)</f>
      </c>
      <c r="L5" s="16">
        <f>SUM(L6:L7)</f>
      </c>
      <c r="M5" s="17">
        <f>SUM(M6:M7)</f>
      </c>
      <c r="N5" s="16">
        <f>SUM(N6:N7)</f>
      </c>
      <c r="O5" s="16">
        <f>SUM(O6:O7)</f>
      </c>
      <c r="P5" s="16">
        <f>SUM(P6:P7)</f>
      </c>
      <c r="Q5" s="17">
        <f>SUM(Q6:Q7)</f>
      </c>
      <c r="R5" s="16">
        <f>SUM(R6:R7)</f>
      </c>
      <c r="S5" s="18">
        <f>IF(Q5&gt;0, R5/Q5, 0)</f>
      </c>
    </row>
    <row r="6">
      <c r="A6" s="6" t="s">
        <v>14</v>
      </c>
      <c r="B6" s="19">
        <v>2</v>
      </c>
      <c r="C6" s="20">
        <v>7.15</v>
      </c>
      <c r="D6" s="19">
        <v>873.43</v>
      </c>
      <c r="E6" s="19">
        <v>0</v>
      </c>
      <c r="F6" s="20">
        <v>0</v>
      </c>
      <c r="G6" s="19">
        <v>0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>
      <c r="A7" s="6" t="s">
        <v>15</v>
      </c>
      <c r="B7" s="19">
        <v>2</v>
      </c>
      <c r="C7" s="20">
        <v>2</v>
      </c>
      <c r="D7" s="19">
        <v>178</v>
      </c>
      <c r="E7" s="19">
        <v>0</v>
      </c>
      <c r="F7" s="20">
        <v>0</v>
      </c>
      <c r="G7" s="19">
        <v>0</v>
      </c>
      <c r="H7" s="19">
        <f>D7+G7</f>
      </c>
      <c r="I7" s="19">
        <v>0</v>
      </c>
      <c r="J7" s="20">
        <v>0</v>
      </c>
      <c r="K7" s="19">
        <v>0</v>
      </c>
      <c r="L7" s="19">
        <v>0</v>
      </c>
      <c r="M7" s="20">
        <v>0</v>
      </c>
      <c r="N7" s="19">
        <v>0</v>
      </c>
      <c r="O7" s="19">
        <f>K7+N7</f>
      </c>
      <c r="P7" s="19">
        <f>B7+E7+I7+L7</f>
      </c>
      <c r="Q7" s="20">
        <f>C7+F7+J7+M7</f>
      </c>
      <c r="R7" s="19">
        <f>H7+O7</f>
      </c>
      <c r="S7" s="21">
        <f>IF(Q7&gt;0, R7/Q7, 0)</f>
      </c>
    </row>
    <row r="8" s="2" customFormat="1">
      <c r="A8" s="15" t="s">
        <v>16</v>
      </c>
      <c r="B8" s="16">
        <f>SUM(B9:B11)</f>
      </c>
      <c r="C8" s="17">
        <f>SUM(C9:C11)</f>
      </c>
      <c r="D8" s="16">
        <f>SUM(D9:D11)</f>
      </c>
      <c r="E8" s="16">
        <f>SUM(E9:E11)</f>
      </c>
      <c r="F8" s="17">
        <f>SUM(F9:F11)</f>
      </c>
      <c r="G8" s="16">
        <f>SUM(G9:G11)</f>
      </c>
      <c r="H8" s="16">
        <f>SUM(H9:H11)</f>
      </c>
      <c r="I8" s="16">
        <f>SUM(I9:I11)</f>
      </c>
      <c r="J8" s="17">
        <f>SUM(J9:J11)</f>
      </c>
      <c r="K8" s="16">
        <f>SUM(K9:K11)</f>
      </c>
      <c r="L8" s="16">
        <f>SUM(L9:L11)</f>
      </c>
      <c r="M8" s="17">
        <f>SUM(M9:M11)</f>
      </c>
      <c r="N8" s="16">
        <f>SUM(N9:N11)</f>
      </c>
      <c r="O8" s="16">
        <f>SUM(O9:O11)</f>
      </c>
      <c r="P8" s="16">
        <f>SUM(P9:P11)</f>
      </c>
      <c r="Q8" s="17">
        <f>SUM(Q9:Q11)</f>
      </c>
      <c r="R8" s="16">
        <f>SUM(R9:R11)</f>
      </c>
      <c r="S8" s="18">
        <f>IF(Q8&gt;0, R8/Q8, 0)</f>
      </c>
    </row>
    <row r="9">
      <c r="A9" s="6" t="s">
        <v>17</v>
      </c>
      <c r="B9" s="19">
        <v>0</v>
      </c>
      <c r="C9" s="20">
        <v>0</v>
      </c>
      <c r="D9" s="19">
        <v>0</v>
      </c>
      <c r="E9" s="19">
        <v>3</v>
      </c>
      <c r="F9" s="20">
        <v>3.66</v>
      </c>
      <c r="G9" s="19">
        <v>313.22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>
      <c r="A10" s="6" t="s">
        <v>18</v>
      </c>
      <c r="B10" s="19">
        <v>0</v>
      </c>
      <c r="C10" s="20">
        <v>0</v>
      </c>
      <c r="D10" s="19">
        <v>0</v>
      </c>
      <c r="E10" s="19">
        <v>6</v>
      </c>
      <c r="F10" s="20">
        <v>9.8</v>
      </c>
      <c r="G10" s="19">
        <v>850.77</v>
      </c>
      <c r="H10" s="19">
        <f>D10+G10</f>
      </c>
      <c r="I10" s="19">
        <v>0</v>
      </c>
      <c r="J10" s="20">
        <v>0</v>
      </c>
      <c r="K10" s="19">
        <v>0</v>
      </c>
      <c r="L10" s="19">
        <v>0</v>
      </c>
      <c r="M10" s="20">
        <v>0</v>
      </c>
      <c r="N10" s="19">
        <v>0</v>
      </c>
      <c r="O10" s="19">
        <f>K10+N10</f>
      </c>
      <c r="P10" s="19">
        <f>B10+E10+I10+L10</f>
      </c>
      <c r="Q10" s="20">
        <f>C10+F10+J10+M10</f>
      </c>
      <c r="R10" s="19">
        <f>H10+O10</f>
      </c>
      <c r="S10" s="21">
        <f>IF(Q10&gt;0, R10/Q10, 0)</f>
      </c>
    </row>
    <row r="11">
      <c r="A11" s="6" t="s">
        <v>14</v>
      </c>
      <c r="B11" s="19">
        <v>12</v>
      </c>
      <c r="C11" s="20">
        <v>17.57</v>
      </c>
      <c r="D11" s="19">
        <v>1444.6</v>
      </c>
      <c r="E11" s="19">
        <v>48</v>
      </c>
      <c r="F11" s="20">
        <v>69.14</v>
      </c>
      <c r="G11" s="19">
        <v>5951.52</v>
      </c>
      <c r="H11" s="19">
        <f>D11+G11</f>
      </c>
      <c r="I11" s="19">
        <v>0</v>
      </c>
      <c r="J11" s="20">
        <v>0</v>
      </c>
      <c r="K11" s="19">
        <v>0</v>
      </c>
      <c r="L11" s="19">
        <v>0</v>
      </c>
      <c r="M11" s="20">
        <v>0</v>
      </c>
      <c r="N11" s="19">
        <v>0</v>
      </c>
      <c r="O11" s="19">
        <f>K11+N11</f>
      </c>
      <c r="P11" s="19">
        <f>B11+E11+I11+L11</f>
      </c>
      <c r="Q11" s="20">
        <f>C11+F11+J11+M11</f>
      </c>
      <c r="R11" s="19">
        <f>H11+O11</f>
      </c>
      <c r="S11" s="21">
        <f>IF(Q11&gt;0, R11/Q11, 0)</f>
      </c>
    </row>
    <row r="12" s="2" customFormat="1">
      <c r="A12" s="15" t="s">
        <v>19</v>
      </c>
      <c r="B12" s="16">
        <f>SUM(B13:B13)</f>
      </c>
      <c r="C12" s="17">
        <f>SUM(C13:C13)</f>
      </c>
      <c r="D12" s="16">
        <f>SUM(D13:D13)</f>
      </c>
      <c r="E12" s="16">
        <f>SUM(E13:E13)</f>
      </c>
      <c r="F12" s="17">
        <f>SUM(F13:F13)</f>
      </c>
      <c r="G12" s="16">
        <f>SUM(G13:G13)</f>
      </c>
      <c r="H12" s="16">
        <f>SUM(H13:H13)</f>
      </c>
      <c r="I12" s="16">
        <f>SUM(I13:I13)</f>
      </c>
      <c r="J12" s="17">
        <f>SUM(J13:J13)</f>
      </c>
      <c r="K12" s="16">
        <f>SUM(K13:K13)</f>
      </c>
      <c r="L12" s="16">
        <f>SUM(L13:L13)</f>
      </c>
      <c r="M12" s="17">
        <f>SUM(M13:M13)</f>
      </c>
      <c r="N12" s="16">
        <f>SUM(N13:N13)</f>
      </c>
      <c r="O12" s="16">
        <f>SUM(O13:O13)</f>
      </c>
      <c r="P12" s="16">
        <f>SUM(P13:P13)</f>
      </c>
      <c r="Q12" s="17">
        <f>SUM(Q13:Q13)</f>
      </c>
      <c r="R12" s="16">
        <f>SUM(R13:R13)</f>
      </c>
      <c r="S12" s="18">
        <f>IF(Q12&gt;0, R12/Q12, 0)</f>
      </c>
    </row>
    <row r="13">
      <c r="A13" s="6" t="s">
        <v>18</v>
      </c>
      <c r="B13" s="19">
        <v>0</v>
      </c>
      <c r="C13" s="20">
        <v>0</v>
      </c>
      <c r="D13" s="19">
        <v>0</v>
      </c>
      <c r="E13" s="19">
        <v>1</v>
      </c>
      <c r="F13" s="20">
        <v>5.05</v>
      </c>
      <c r="G13" s="19">
        <v>454.5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 s="2" customFormat="1">
      <c r="A14" s="15" t="s">
        <v>20</v>
      </c>
      <c r="B14" s="16">
        <f>SUM(B15:B16)</f>
      </c>
      <c r="C14" s="17">
        <f>SUM(C15:C16)</f>
      </c>
      <c r="D14" s="16">
        <f>SUM(D15:D16)</f>
      </c>
      <c r="E14" s="16">
        <f>SUM(E15:E16)</f>
      </c>
      <c r="F14" s="17">
        <f>SUM(F15:F16)</f>
      </c>
      <c r="G14" s="16">
        <f>SUM(G15:G16)</f>
      </c>
      <c r="H14" s="16">
        <f>SUM(H15:H16)</f>
      </c>
      <c r="I14" s="16">
        <f>SUM(I15:I16)</f>
      </c>
      <c r="J14" s="17">
        <f>SUM(J15:J16)</f>
      </c>
      <c r="K14" s="16">
        <f>SUM(K15:K16)</f>
      </c>
      <c r="L14" s="16">
        <f>SUM(L15:L16)</f>
      </c>
      <c r="M14" s="17">
        <f>SUM(M15:M16)</f>
      </c>
      <c r="N14" s="16">
        <f>SUM(N15:N16)</f>
      </c>
      <c r="O14" s="16">
        <f>SUM(O15:O16)</f>
      </c>
      <c r="P14" s="16">
        <f>SUM(P15:P16)</f>
      </c>
      <c r="Q14" s="17">
        <f>SUM(Q15:Q16)</f>
      </c>
      <c r="R14" s="16">
        <f>SUM(R15:R16)</f>
      </c>
      <c r="S14" s="18">
        <f>IF(Q14&gt;0, R14/Q14, 0)</f>
      </c>
    </row>
    <row r="15">
      <c r="A15" s="6" t="s">
        <v>18</v>
      </c>
      <c r="B15" s="19">
        <v>0</v>
      </c>
      <c r="C15" s="20">
        <v>0</v>
      </c>
      <c r="D15" s="19">
        <v>0</v>
      </c>
      <c r="E15" s="19">
        <v>34</v>
      </c>
      <c r="F15" s="20">
        <v>37.86</v>
      </c>
      <c r="G15" s="19">
        <v>2758.49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>
      <c r="A16" s="6" t="s">
        <v>14</v>
      </c>
      <c r="B16" s="19">
        <v>1</v>
      </c>
      <c r="C16" s="20">
        <v>1.52</v>
      </c>
      <c r="D16" s="19">
        <v>173.28</v>
      </c>
      <c r="E16" s="19">
        <v>35</v>
      </c>
      <c r="F16" s="20">
        <v>44.72</v>
      </c>
      <c r="G16" s="19">
        <v>3526.53</v>
      </c>
      <c r="H16" s="19">
        <f>D16+G16</f>
      </c>
      <c r="I16" s="19">
        <v>0</v>
      </c>
      <c r="J16" s="20">
        <v>0</v>
      </c>
      <c r="K16" s="19">
        <v>0</v>
      </c>
      <c r="L16" s="19">
        <v>0</v>
      </c>
      <c r="M16" s="20">
        <v>0</v>
      </c>
      <c r="N16" s="19">
        <v>0</v>
      </c>
      <c r="O16" s="19">
        <f>K16+N16</f>
      </c>
      <c r="P16" s="19">
        <f>B16+E16+I16+L16</f>
      </c>
      <c r="Q16" s="20">
        <f>C16+F16+J16+M16</f>
      </c>
      <c r="R16" s="19">
        <f>H16+O16</f>
      </c>
      <c r="S16" s="21">
        <f>IF(Q16&gt;0, R16/Q16, 0)</f>
      </c>
    </row>
    <row r="17" s="2" customFormat="1">
      <c r="A17" s="15" t="s">
        <v>21</v>
      </c>
      <c r="B17" s="16">
        <f>SUM(B18:B18)</f>
      </c>
      <c r="C17" s="17">
        <f>SUM(C18:C18)</f>
      </c>
      <c r="D17" s="16">
        <f>SUM(D18:D18)</f>
      </c>
      <c r="E17" s="16">
        <f>SUM(E18:E18)</f>
      </c>
      <c r="F17" s="17">
        <f>SUM(F18:F18)</f>
      </c>
      <c r="G17" s="16">
        <f>SUM(G18:G18)</f>
      </c>
      <c r="H17" s="16">
        <f>SUM(H18:H18)</f>
      </c>
      <c r="I17" s="16">
        <f>SUM(I18:I18)</f>
      </c>
      <c r="J17" s="17">
        <f>SUM(J18:J18)</f>
      </c>
      <c r="K17" s="16">
        <f>SUM(K18:K18)</f>
      </c>
      <c r="L17" s="16">
        <f>SUM(L18:L18)</f>
      </c>
      <c r="M17" s="17">
        <f>SUM(M18:M18)</f>
      </c>
      <c r="N17" s="16">
        <f>SUM(N18:N18)</f>
      </c>
      <c r="O17" s="16">
        <f>SUM(O18:O18)</f>
      </c>
      <c r="P17" s="16">
        <f>SUM(P18:P18)</f>
      </c>
      <c r="Q17" s="17">
        <f>SUM(Q18:Q18)</f>
      </c>
      <c r="R17" s="16">
        <f>SUM(R18:R18)</f>
      </c>
      <c r="S17" s="18">
        <f>IF(Q17&gt;0, R17/Q17, 0)</f>
      </c>
    </row>
    <row r="18">
      <c r="A18" s="6" t="s">
        <v>22</v>
      </c>
      <c r="B18" s="19">
        <v>0</v>
      </c>
      <c r="C18" s="20">
        <v>0</v>
      </c>
      <c r="D18" s="19">
        <v>0</v>
      </c>
      <c r="E18" s="19">
        <v>1</v>
      </c>
      <c r="F18" s="20">
        <v>1.23</v>
      </c>
      <c r="G18" s="19">
        <v>97.17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23</v>
      </c>
      <c r="B19" s="16">
        <f>SUM(B20:B21)</f>
      </c>
      <c r="C19" s="17">
        <f>SUM(C20:C21)</f>
      </c>
      <c r="D19" s="16">
        <f>SUM(D20:D21)</f>
      </c>
      <c r="E19" s="16">
        <f>SUM(E20:E21)</f>
      </c>
      <c r="F19" s="17">
        <f>SUM(F20:F21)</f>
      </c>
      <c r="G19" s="16">
        <f>SUM(G20:G21)</f>
      </c>
      <c r="H19" s="16">
        <f>SUM(H20:H21)</f>
      </c>
      <c r="I19" s="16">
        <f>SUM(I20:I21)</f>
      </c>
      <c r="J19" s="17">
        <f>SUM(J20:J21)</f>
      </c>
      <c r="K19" s="16">
        <f>SUM(K20:K21)</f>
      </c>
      <c r="L19" s="16">
        <f>SUM(L20:L21)</f>
      </c>
      <c r="M19" s="17">
        <f>SUM(M20:M21)</f>
      </c>
      <c r="N19" s="16">
        <f>SUM(N20:N21)</f>
      </c>
      <c r="O19" s="16">
        <f>SUM(O20:O21)</f>
      </c>
      <c r="P19" s="16">
        <f>SUM(P20:P21)</f>
      </c>
      <c r="Q19" s="17">
        <f>SUM(Q20:Q21)</f>
      </c>
      <c r="R19" s="16">
        <f>SUM(R20:R21)</f>
      </c>
      <c r="S19" s="18">
        <f>IF(Q19&gt;0, R19/Q19, 0)</f>
      </c>
    </row>
    <row r="20">
      <c r="A20" s="6" t="s">
        <v>24</v>
      </c>
      <c r="B20" s="19">
        <v>0</v>
      </c>
      <c r="C20" s="20">
        <v>0</v>
      </c>
      <c r="D20" s="19">
        <v>0</v>
      </c>
      <c r="E20" s="19">
        <v>0</v>
      </c>
      <c r="F20" s="20">
        <v>0</v>
      </c>
      <c r="G20" s="19">
        <v>0</v>
      </c>
      <c r="H20" s="19">
        <f>D20+G20</f>
      </c>
      <c r="I20" s="19">
        <v>0</v>
      </c>
      <c r="J20" s="20">
        <v>0</v>
      </c>
      <c r="K20" s="19">
        <v>0</v>
      </c>
      <c r="L20" s="19">
        <v>44</v>
      </c>
      <c r="M20" s="20">
        <v>85.15</v>
      </c>
      <c r="N20" s="19">
        <v>9491.78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18</v>
      </c>
      <c r="B21" s="19">
        <v>0</v>
      </c>
      <c r="C21" s="20">
        <v>0</v>
      </c>
      <c r="D21" s="19">
        <v>0</v>
      </c>
      <c r="E21" s="19">
        <v>0</v>
      </c>
      <c r="F21" s="20">
        <v>0</v>
      </c>
      <c r="G21" s="19">
        <v>0</v>
      </c>
      <c r="H21" s="19">
        <f>D21+G21</f>
      </c>
      <c r="I21" s="19">
        <v>1</v>
      </c>
      <c r="J21" s="20">
        <v>1.54</v>
      </c>
      <c r="K21" s="19">
        <v>152.46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 s="2" customFormat="1">
      <c r="A22" s="15" t="s">
        <v>25</v>
      </c>
      <c r="B22" s="16">
        <f>SUM(B23:B25)</f>
      </c>
      <c r="C22" s="17">
        <f>SUM(C23:C25)</f>
      </c>
      <c r="D22" s="16">
        <f>SUM(D23:D25)</f>
      </c>
      <c r="E22" s="16">
        <f>SUM(E23:E25)</f>
      </c>
      <c r="F22" s="17">
        <f>SUM(F23:F25)</f>
      </c>
      <c r="G22" s="16">
        <f>SUM(G23:G25)</f>
      </c>
      <c r="H22" s="16">
        <f>SUM(H23:H25)</f>
      </c>
      <c r="I22" s="16">
        <f>SUM(I23:I25)</f>
      </c>
      <c r="J22" s="17">
        <f>SUM(J23:J25)</f>
      </c>
      <c r="K22" s="16">
        <f>SUM(K23:K25)</f>
      </c>
      <c r="L22" s="16">
        <f>SUM(L23:L25)</f>
      </c>
      <c r="M22" s="17">
        <f>SUM(M23:M25)</f>
      </c>
      <c r="N22" s="16">
        <f>SUM(N23:N25)</f>
      </c>
      <c r="O22" s="16">
        <f>SUM(O23:O25)</f>
      </c>
      <c r="P22" s="16">
        <f>SUM(P23:P25)</f>
      </c>
      <c r="Q22" s="17">
        <f>SUM(Q23:Q25)</f>
      </c>
      <c r="R22" s="16">
        <f>SUM(R23:R25)</f>
      </c>
      <c r="S22" s="18">
        <f>IF(Q22&gt;0, R22/Q22, 0)</f>
      </c>
    </row>
    <row r="23">
      <c r="A23" s="6" t="s">
        <v>17</v>
      </c>
      <c r="B23" s="19">
        <v>0</v>
      </c>
      <c r="C23" s="20">
        <v>0</v>
      </c>
      <c r="D23" s="19">
        <v>0</v>
      </c>
      <c r="E23" s="19">
        <v>11</v>
      </c>
      <c r="F23" s="20">
        <v>11.3</v>
      </c>
      <c r="G23" s="19">
        <v>937.9</v>
      </c>
      <c r="H23" s="19">
        <f>D23+G23</f>
      </c>
      <c r="I23" s="19">
        <v>0</v>
      </c>
      <c r="J23" s="20">
        <v>0</v>
      </c>
      <c r="K23" s="19">
        <v>0</v>
      </c>
      <c r="L23" s="19">
        <v>0</v>
      </c>
      <c r="M23" s="20">
        <v>0</v>
      </c>
      <c r="N23" s="19">
        <v>0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18</v>
      </c>
      <c r="B24" s="19">
        <v>0</v>
      </c>
      <c r="C24" s="20">
        <v>0</v>
      </c>
      <c r="D24" s="19">
        <v>0</v>
      </c>
      <c r="E24" s="19">
        <v>7</v>
      </c>
      <c r="F24" s="20">
        <v>8.57</v>
      </c>
      <c r="G24" s="19">
        <v>651.32</v>
      </c>
      <c r="H24" s="19">
        <f>D24+G24</f>
      </c>
      <c r="I24" s="19">
        <v>0</v>
      </c>
      <c r="J24" s="20">
        <v>0</v>
      </c>
      <c r="K24" s="19">
        <v>0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>
      <c r="A25" s="6" t="s">
        <v>14</v>
      </c>
      <c r="B25" s="19">
        <v>0</v>
      </c>
      <c r="C25" s="20">
        <v>0</v>
      </c>
      <c r="D25" s="19">
        <v>0</v>
      </c>
      <c r="E25" s="19">
        <v>9</v>
      </c>
      <c r="F25" s="20">
        <v>11.87</v>
      </c>
      <c r="G25" s="19">
        <v>994.77</v>
      </c>
      <c r="H25" s="19">
        <f>D25+G25</f>
      </c>
      <c r="I25" s="19">
        <v>0</v>
      </c>
      <c r="J25" s="20">
        <v>0</v>
      </c>
      <c r="K25" s="19">
        <v>0</v>
      </c>
      <c r="L25" s="19">
        <v>0</v>
      </c>
      <c r="M25" s="20">
        <v>0</v>
      </c>
      <c r="N25" s="19">
        <v>0</v>
      </c>
      <c r="O25" s="19">
        <f>K25+N25</f>
      </c>
      <c r="P25" s="19">
        <f>B25+E25+I25+L25</f>
      </c>
      <c r="Q25" s="20">
        <f>C25+F25+J25+M25</f>
      </c>
      <c r="R25" s="19">
        <f>H25+O25</f>
      </c>
      <c r="S25" s="21">
        <f>IF(Q25&gt;0, R25/Q25, 0)</f>
      </c>
    </row>
    <row r="26" s="2" customFormat="1">
      <c r="A26" s="15" t="s">
        <v>26</v>
      </c>
      <c r="B26" s="16">
        <f>SUM(B27:B28)</f>
      </c>
      <c r="C26" s="17">
        <f>SUM(C27:C28)</f>
      </c>
      <c r="D26" s="16">
        <f>SUM(D27:D28)</f>
      </c>
      <c r="E26" s="16">
        <f>SUM(E27:E28)</f>
      </c>
      <c r="F26" s="17">
        <f>SUM(F27:F28)</f>
      </c>
      <c r="G26" s="16">
        <f>SUM(G27:G28)</f>
      </c>
      <c r="H26" s="16">
        <f>SUM(H27:H28)</f>
      </c>
      <c r="I26" s="16">
        <f>SUM(I27:I28)</f>
      </c>
      <c r="J26" s="17">
        <f>SUM(J27:J28)</f>
      </c>
      <c r="K26" s="16">
        <f>SUM(K27:K28)</f>
      </c>
      <c r="L26" s="16">
        <f>SUM(L27:L28)</f>
      </c>
      <c r="M26" s="17">
        <f>SUM(M27:M28)</f>
      </c>
      <c r="N26" s="16">
        <f>SUM(N27:N28)</f>
      </c>
      <c r="O26" s="16">
        <f>SUM(O27:O28)</f>
      </c>
      <c r="P26" s="16">
        <f>SUM(P27:P28)</f>
      </c>
      <c r="Q26" s="17">
        <f>SUM(Q27:Q28)</f>
      </c>
      <c r="R26" s="16">
        <f>SUM(R27:R28)</f>
      </c>
      <c r="S26" s="18">
        <f>IF(Q26&gt;0, R26/Q26, 0)</f>
      </c>
    </row>
    <row r="27">
      <c r="A27" s="6" t="s">
        <v>27</v>
      </c>
      <c r="B27" s="19">
        <v>0</v>
      </c>
      <c r="C27" s="20">
        <v>0</v>
      </c>
      <c r="D27" s="19">
        <v>0</v>
      </c>
      <c r="E27" s="19">
        <v>0</v>
      </c>
      <c r="F27" s="20">
        <v>0</v>
      </c>
      <c r="G27" s="19">
        <v>0</v>
      </c>
      <c r="H27" s="19">
        <f>D27+G27</f>
      </c>
      <c r="I27" s="19">
        <v>0</v>
      </c>
      <c r="J27" s="20">
        <v>0</v>
      </c>
      <c r="K27" s="19">
        <v>0</v>
      </c>
      <c r="L27" s="19">
        <v>485</v>
      </c>
      <c r="M27" s="20">
        <v>629.36</v>
      </c>
      <c r="N27" s="19">
        <v>71244.76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>
      <c r="A28" s="6" t="s">
        <v>24</v>
      </c>
      <c r="B28" s="19">
        <v>0</v>
      </c>
      <c r="C28" s="20">
        <v>0</v>
      </c>
      <c r="D28" s="19">
        <v>0</v>
      </c>
      <c r="E28" s="19">
        <v>0</v>
      </c>
      <c r="F28" s="20">
        <v>0</v>
      </c>
      <c r="G28" s="19">
        <v>0</v>
      </c>
      <c r="H28" s="19">
        <f>D28+G28</f>
      </c>
      <c r="I28" s="19">
        <v>0</v>
      </c>
      <c r="J28" s="20">
        <v>0</v>
      </c>
      <c r="K28" s="19">
        <v>0</v>
      </c>
      <c r="L28" s="19">
        <v>3</v>
      </c>
      <c r="M28" s="20">
        <v>5.25</v>
      </c>
      <c r="N28" s="19">
        <v>736.18</v>
      </c>
      <c r="O28" s="19">
        <f>K28+N28</f>
      </c>
      <c r="P28" s="19">
        <f>B28+E28+I28+L28</f>
      </c>
      <c r="Q28" s="20">
        <f>C28+F28+J28+M28</f>
      </c>
      <c r="R28" s="19">
        <f>H28+O28</f>
      </c>
      <c r="S28" s="21">
        <f>IF(Q28&gt;0, R28/Q28, 0)</f>
      </c>
    </row>
    <row r="29" s="2" customFormat="1">
      <c r="A29" s="15" t="s">
        <v>28</v>
      </c>
      <c r="B29" s="16">
        <f>SUM(B30:B32)</f>
      </c>
      <c r="C29" s="17">
        <f>SUM(C30:C32)</f>
      </c>
      <c r="D29" s="16">
        <f>SUM(D30:D32)</f>
      </c>
      <c r="E29" s="16">
        <f>SUM(E30:E32)</f>
      </c>
      <c r="F29" s="17">
        <f>SUM(F30:F32)</f>
      </c>
      <c r="G29" s="16">
        <f>SUM(G30:G32)</f>
      </c>
      <c r="H29" s="16">
        <f>SUM(H30:H32)</f>
      </c>
      <c r="I29" s="16">
        <f>SUM(I30:I32)</f>
      </c>
      <c r="J29" s="17">
        <f>SUM(J30:J32)</f>
      </c>
      <c r="K29" s="16">
        <f>SUM(K30:K32)</f>
      </c>
      <c r="L29" s="16">
        <f>SUM(L30:L32)</f>
      </c>
      <c r="M29" s="17">
        <f>SUM(M30:M32)</f>
      </c>
      <c r="N29" s="16">
        <f>SUM(N30:N32)</f>
      </c>
      <c r="O29" s="16">
        <f>SUM(O30:O32)</f>
      </c>
      <c r="P29" s="16">
        <f>SUM(P30:P32)</f>
      </c>
      <c r="Q29" s="17">
        <f>SUM(Q30:Q32)</f>
      </c>
      <c r="R29" s="16">
        <f>SUM(R30:R32)</f>
      </c>
      <c r="S29" s="18">
        <f>IF(Q29&gt;0, R29/Q29, 0)</f>
      </c>
    </row>
    <row r="30">
      <c r="A30" s="6" t="s">
        <v>29</v>
      </c>
      <c r="B30" s="19">
        <v>0</v>
      </c>
      <c r="C30" s="20">
        <v>0</v>
      </c>
      <c r="D30" s="19">
        <v>0</v>
      </c>
      <c r="E30" s="19">
        <v>0</v>
      </c>
      <c r="F30" s="20">
        <v>0</v>
      </c>
      <c r="G30" s="19">
        <v>0</v>
      </c>
      <c r="H30" s="19">
        <f>D30+G30</f>
      </c>
      <c r="I30" s="19">
        <v>2</v>
      </c>
      <c r="J30" s="20">
        <v>4.05</v>
      </c>
      <c r="K30" s="19">
        <v>486</v>
      </c>
      <c r="L30" s="19">
        <v>0</v>
      </c>
      <c r="M30" s="20">
        <v>0</v>
      </c>
      <c r="N30" s="19">
        <v>0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>
      <c r="A31" s="6" t="s">
        <v>30</v>
      </c>
      <c r="B31" s="19">
        <v>0</v>
      </c>
      <c r="C31" s="20">
        <v>0</v>
      </c>
      <c r="D31" s="19">
        <v>0</v>
      </c>
      <c r="E31" s="19">
        <v>0</v>
      </c>
      <c r="F31" s="20">
        <v>0</v>
      </c>
      <c r="G31" s="19">
        <v>0</v>
      </c>
      <c r="H31" s="19">
        <f>D31+G31</f>
      </c>
      <c r="I31" s="19">
        <v>1</v>
      </c>
      <c r="J31" s="20">
        <v>1.6</v>
      </c>
      <c r="K31" s="19">
        <v>104</v>
      </c>
      <c r="L31" s="19">
        <v>0</v>
      </c>
      <c r="M31" s="20">
        <v>0</v>
      </c>
      <c r="N31" s="19">
        <v>0</v>
      </c>
      <c r="O31" s="19">
        <f>K31+N31</f>
      </c>
      <c r="P31" s="19">
        <f>B31+E31+I31+L31</f>
      </c>
      <c r="Q31" s="20">
        <f>C31+F31+J31+M31</f>
      </c>
      <c r="R31" s="19">
        <f>H31+O31</f>
      </c>
      <c r="S31" s="21">
        <f>IF(Q31&gt;0, R31/Q31, 0)</f>
      </c>
    </row>
    <row r="32">
      <c r="A32" s="6" t="s">
        <v>31</v>
      </c>
      <c r="B32" s="19">
        <v>0</v>
      </c>
      <c r="C32" s="20">
        <v>0</v>
      </c>
      <c r="D32" s="19">
        <v>0</v>
      </c>
      <c r="E32" s="19">
        <v>0</v>
      </c>
      <c r="F32" s="20">
        <v>0</v>
      </c>
      <c r="G32" s="19">
        <v>0</v>
      </c>
      <c r="H32" s="19">
        <f>D32+G32</f>
      </c>
      <c r="I32" s="19">
        <v>16</v>
      </c>
      <c r="J32" s="20">
        <v>28.5</v>
      </c>
      <c r="K32" s="19">
        <v>5556.52</v>
      </c>
      <c r="L32" s="19">
        <v>0</v>
      </c>
      <c r="M32" s="20">
        <v>0</v>
      </c>
      <c r="N32" s="19">
        <v>0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 s="2" customFormat="1">
      <c r="A33" s="15" t="s">
        <v>32</v>
      </c>
      <c r="B33" s="16">
        <f>SUM(B34:B37)</f>
      </c>
      <c r="C33" s="17">
        <f>SUM(C34:C37)</f>
      </c>
      <c r="D33" s="16">
        <f>SUM(D34:D37)</f>
      </c>
      <c r="E33" s="16">
        <f>SUM(E34:E37)</f>
      </c>
      <c r="F33" s="17">
        <f>SUM(F34:F37)</f>
      </c>
      <c r="G33" s="16">
        <f>SUM(G34:G37)</f>
      </c>
      <c r="H33" s="16">
        <f>SUM(H34:H37)</f>
      </c>
      <c r="I33" s="16">
        <f>SUM(I34:I37)</f>
      </c>
      <c r="J33" s="17">
        <f>SUM(J34:J37)</f>
      </c>
      <c r="K33" s="16">
        <f>SUM(K34:K37)</f>
      </c>
      <c r="L33" s="16">
        <f>SUM(L34:L37)</f>
      </c>
      <c r="M33" s="17">
        <f>SUM(M34:M37)</f>
      </c>
      <c r="N33" s="16">
        <f>SUM(N34:N37)</f>
      </c>
      <c r="O33" s="16">
        <f>SUM(O34:O37)</f>
      </c>
      <c r="P33" s="16">
        <f>SUM(P34:P37)</f>
      </c>
      <c r="Q33" s="17">
        <f>SUM(Q34:Q37)</f>
      </c>
      <c r="R33" s="16">
        <f>SUM(R34:R37)</f>
      </c>
      <c r="S33" s="18">
        <f>IF(Q33&gt;0, R33/Q33, 0)</f>
      </c>
    </row>
    <row r="34">
      <c r="A34" s="6" t="s">
        <v>22</v>
      </c>
      <c r="B34" s="19">
        <v>0</v>
      </c>
      <c r="C34" s="20">
        <v>0</v>
      </c>
      <c r="D34" s="19">
        <v>0</v>
      </c>
      <c r="E34" s="19">
        <v>6</v>
      </c>
      <c r="F34" s="20">
        <v>9.94</v>
      </c>
      <c r="G34" s="19">
        <v>889.05</v>
      </c>
      <c r="H34" s="19">
        <f>D34+G34</f>
      </c>
      <c r="I34" s="19">
        <v>0</v>
      </c>
      <c r="J34" s="20">
        <v>0</v>
      </c>
      <c r="K34" s="19">
        <v>0</v>
      </c>
      <c r="L34" s="19">
        <v>0</v>
      </c>
      <c r="M34" s="20">
        <v>0</v>
      </c>
      <c r="N34" s="19">
        <v>0</v>
      </c>
      <c r="O34" s="19">
        <f>K34+N34</f>
      </c>
      <c r="P34" s="19">
        <f>B34+E34+I34+L34</f>
      </c>
      <c r="Q34" s="20">
        <f>C34+F34+J34+M34</f>
      </c>
      <c r="R34" s="19">
        <f>H34+O34</f>
      </c>
      <c r="S34" s="21">
        <f>IF(Q34&gt;0, R34/Q34, 0)</f>
      </c>
    </row>
    <row r="35">
      <c r="A35" s="6" t="s">
        <v>17</v>
      </c>
      <c r="B35" s="19">
        <v>0</v>
      </c>
      <c r="C35" s="20">
        <v>0</v>
      </c>
      <c r="D35" s="19">
        <v>0</v>
      </c>
      <c r="E35" s="19">
        <v>17</v>
      </c>
      <c r="F35" s="20">
        <v>28.14</v>
      </c>
      <c r="G35" s="19">
        <v>2406.86</v>
      </c>
      <c r="H35" s="19">
        <f>D35+G35</f>
      </c>
      <c r="I35" s="19">
        <v>0</v>
      </c>
      <c r="J35" s="20">
        <v>0</v>
      </c>
      <c r="K35" s="19">
        <v>0</v>
      </c>
      <c r="L35" s="19">
        <v>0</v>
      </c>
      <c r="M35" s="20">
        <v>0</v>
      </c>
      <c r="N35" s="19">
        <v>0</v>
      </c>
      <c r="O35" s="19">
        <f>K35+N35</f>
      </c>
      <c r="P35" s="19">
        <f>B35+E35+I35+L35</f>
      </c>
      <c r="Q35" s="20">
        <f>C35+F35+J35+M35</f>
      </c>
      <c r="R35" s="19">
        <f>H35+O35</f>
      </c>
      <c r="S35" s="21">
        <f>IF(Q35&gt;0, R35/Q35, 0)</f>
      </c>
    </row>
    <row r="36">
      <c r="A36" s="6" t="s">
        <v>18</v>
      </c>
      <c r="B36" s="19">
        <v>0</v>
      </c>
      <c r="C36" s="20">
        <v>0</v>
      </c>
      <c r="D36" s="19">
        <v>0</v>
      </c>
      <c r="E36" s="19">
        <v>27</v>
      </c>
      <c r="F36" s="20">
        <v>34.17</v>
      </c>
      <c r="G36" s="19">
        <v>2696.28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>
      <c r="A37" s="6" t="s">
        <v>14</v>
      </c>
      <c r="B37" s="19">
        <v>22</v>
      </c>
      <c r="C37" s="20">
        <v>23.01</v>
      </c>
      <c r="D37" s="19">
        <v>1779.63</v>
      </c>
      <c r="E37" s="19">
        <v>14</v>
      </c>
      <c r="F37" s="20">
        <v>27.3</v>
      </c>
      <c r="G37" s="19">
        <v>2570.53</v>
      </c>
      <c r="H37" s="19">
        <f>D37+G37</f>
      </c>
      <c r="I37" s="19">
        <v>0</v>
      </c>
      <c r="J37" s="20">
        <v>0</v>
      </c>
      <c r="K37" s="19">
        <v>0</v>
      </c>
      <c r="L37" s="19">
        <v>0</v>
      </c>
      <c r="M37" s="20">
        <v>0</v>
      </c>
      <c r="N37" s="19">
        <v>0</v>
      </c>
      <c r="O37" s="19">
        <f>K37+N37</f>
      </c>
      <c r="P37" s="19">
        <f>B37+E37+I37+L37</f>
      </c>
      <c r="Q37" s="20">
        <f>C37+F37+J37+M37</f>
      </c>
      <c r="R37" s="19">
        <f>H37+O37</f>
      </c>
      <c r="S37" s="21">
        <f>IF(Q37&gt;0, R37/Q37, 0)</f>
      </c>
    </row>
    <row r="38" s="2" customFormat="1">
      <c r="A38" s="15" t="s">
        <v>33</v>
      </c>
      <c r="B38" s="16">
        <f>SUM(B39:B40)</f>
      </c>
      <c r="C38" s="17">
        <f>SUM(C39:C40)</f>
      </c>
      <c r="D38" s="16">
        <f>SUM(D39:D40)</f>
      </c>
      <c r="E38" s="16">
        <f>SUM(E39:E40)</f>
      </c>
      <c r="F38" s="17">
        <f>SUM(F39:F40)</f>
      </c>
      <c r="G38" s="16">
        <f>SUM(G39:G40)</f>
      </c>
      <c r="H38" s="16">
        <f>SUM(H39:H40)</f>
      </c>
      <c r="I38" s="16">
        <f>SUM(I39:I40)</f>
      </c>
      <c r="J38" s="17">
        <f>SUM(J39:J40)</f>
      </c>
      <c r="K38" s="16">
        <f>SUM(K39:K40)</f>
      </c>
      <c r="L38" s="16">
        <f>SUM(L39:L40)</f>
      </c>
      <c r="M38" s="17">
        <f>SUM(M39:M40)</f>
      </c>
      <c r="N38" s="16">
        <f>SUM(N39:N40)</f>
      </c>
      <c r="O38" s="16">
        <f>SUM(O39:O40)</f>
      </c>
      <c r="P38" s="16">
        <f>SUM(P39:P40)</f>
      </c>
      <c r="Q38" s="17">
        <f>SUM(Q39:Q40)</f>
      </c>
      <c r="R38" s="16">
        <f>SUM(R39:R40)</f>
      </c>
      <c r="S38" s="18">
        <f>IF(Q38&gt;0, R38/Q38, 0)</f>
      </c>
    </row>
    <row r="39">
      <c r="A39" s="6" t="s">
        <v>34</v>
      </c>
      <c r="B39" s="19">
        <v>0</v>
      </c>
      <c r="C39" s="20">
        <v>0</v>
      </c>
      <c r="D39" s="19">
        <v>0</v>
      </c>
      <c r="E39" s="19">
        <v>0</v>
      </c>
      <c r="F39" s="20">
        <v>0</v>
      </c>
      <c r="G39" s="19">
        <v>0</v>
      </c>
      <c r="H39" s="19">
        <f>D39+G39</f>
      </c>
      <c r="I39" s="19">
        <v>0</v>
      </c>
      <c r="J39" s="20">
        <v>0</v>
      </c>
      <c r="K39" s="19">
        <v>0</v>
      </c>
      <c r="L39" s="19">
        <v>1</v>
      </c>
      <c r="M39" s="20">
        <v>5.02</v>
      </c>
      <c r="N39" s="19">
        <v>903.6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6" t="s">
        <v>35</v>
      </c>
      <c r="B40" s="19">
        <v>0</v>
      </c>
      <c r="C40" s="20">
        <v>0</v>
      </c>
      <c r="D40" s="19">
        <v>0</v>
      </c>
      <c r="E40" s="19">
        <v>0</v>
      </c>
      <c r="F40" s="20">
        <v>0</v>
      </c>
      <c r="G40" s="19">
        <v>0</v>
      </c>
      <c r="H40" s="19">
        <f>D40+G40</f>
      </c>
      <c r="I40" s="19">
        <v>1</v>
      </c>
      <c r="J40" s="20">
        <v>1.5</v>
      </c>
      <c r="K40" s="19">
        <v>163.5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 s="2" customFormat="1">
      <c r="A41" s="15" t="s">
        <v>36</v>
      </c>
      <c r="B41" s="16">
        <f>SUM(B42:B54)</f>
      </c>
      <c r="C41" s="17">
        <f>SUM(C42:C54)</f>
      </c>
      <c r="D41" s="16">
        <f>SUM(D42:D54)</f>
      </c>
      <c r="E41" s="16">
        <f>SUM(E42:E54)</f>
      </c>
      <c r="F41" s="17">
        <f>SUM(F42:F54)</f>
      </c>
      <c r="G41" s="16">
        <f>SUM(G42:G54)</f>
      </c>
      <c r="H41" s="16">
        <f>SUM(H42:H54)</f>
      </c>
      <c r="I41" s="16">
        <f>SUM(I42:I54)</f>
      </c>
      <c r="J41" s="17">
        <f>SUM(J42:J54)</f>
      </c>
      <c r="K41" s="16">
        <f>SUM(K42:K54)</f>
      </c>
      <c r="L41" s="16">
        <f>SUM(L42:L54)</f>
      </c>
      <c r="M41" s="17">
        <f>SUM(M42:M54)</f>
      </c>
      <c r="N41" s="16">
        <f>SUM(N42:N54)</f>
      </c>
      <c r="O41" s="16">
        <f>SUM(O42:O54)</f>
      </c>
      <c r="P41" s="16">
        <f>SUM(P42:P54)</f>
      </c>
      <c r="Q41" s="17">
        <f>SUM(Q42:Q54)</f>
      </c>
      <c r="R41" s="16">
        <f>SUM(R42:R54)</f>
      </c>
      <c r="S41" s="18">
        <f>IF(Q41&gt;0, R41/Q41, 0)</f>
      </c>
    </row>
    <row r="42">
      <c r="A42" s="6" t="s">
        <v>27</v>
      </c>
      <c r="B42" s="19">
        <v>0</v>
      </c>
      <c r="C42" s="20">
        <v>0</v>
      </c>
      <c r="D42" s="19">
        <v>0</v>
      </c>
      <c r="E42" s="19">
        <v>0</v>
      </c>
      <c r="F42" s="20">
        <v>0</v>
      </c>
      <c r="G42" s="19">
        <v>0</v>
      </c>
      <c r="H42" s="19">
        <f>D42+G42</f>
      </c>
      <c r="I42" s="19">
        <v>0</v>
      </c>
      <c r="J42" s="20">
        <v>0</v>
      </c>
      <c r="K42" s="19">
        <v>0</v>
      </c>
      <c r="L42" s="19">
        <v>39</v>
      </c>
      <c r="M42" s="20">
        <v>175.26</v>
      </c>
      <c r="N42" s="19">
        <v>21579.87</v>
      </c>
      <c r="O42" s="19">
        <f>K42+N42</f>
      </c>
      <c r="P42" s="19">
        <f>B42+E42+I42+L42</f>
      </c>
      <c r="Q42" s="20">
        <f>C42+F42+J42+M42</f>
      </c>
      <c r="R42" s="19">
        <f>H42+O42</f>
      </c>
      <c r="S42" s="21">
        <f>IF(Q42&gt;0, R42/Q42, 0)</f>
      </c>
    </row>
    <row r="43">
      <c r="A43" s="6" t="s">
        <v>24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4</v>
      </c>
      <c r="J43" s="20">
        <v>4.81</v>
      </c>
      <c r="K43" s="19">
        <v>527.85</v>
      </c>
      <c r="L43" s="19">
        <v>7</v>
      </c>
      <c r="M43" s="20">
        <v>18.32</v>
      </c>
      <c r="N43" s="19">
        <v>2045.4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>
      <c r="A44" s="6" t="s">
        <v>37</v>
      </c>
      <c r="B44" s="19">
        <v>0</v>
      </c>
      <c r="C44" s="20">
        <v>0</v>
      </c>
      <c r="D44" s="19">
        <v>0</v>
      </c>
      <c r="E44" s="19">
        <v>0</v>
      </c>
      <c r="F44" s="20">
        <v>0</v>
      </c>
      <c r="G44" s="19">
        <v>0</v>
      </c>
      <c r="H44" s="19">
        <f>D44+G44</f>
      </c>
      <c r="I44" s="19">
        <v>0</v>
      </c>
      <c r="J44" s="20">
        <v>0</v>
      </c>
      <c r="K44" s="19">
        <v>0</v>
      </c>
      <c r="L44" s="19">
        <v>1</v>
      </c>
      <c r="M44" s="20">
        <v>4.05</v>
      </c>
      <c r="N44" s="19">
        <v>364.5</v>
      </c>
      <c r="O44" s="19">
        <f>K44+N44</f>
      </c>
      <c r="P44" s="19">
        <f>B44+E44+I44+L44</f>
      </c>
      <c r="Q44" s="20">
        <f>C44+F44+J44+M44</f>
      </c>
      <c r="R44" s="19">
        <f>H44+O44</f>
      </c>
      <c r="S44" s="21">
        <f>IF(Q44&gt;0, R44/Q44, 0)</f>
      </c>
    </row>
    <row r="45">
      <c r="A45" s="6" t="s">
        <v>38</v>
      </c>
      <c r="B45" s="19">
        <v>0</v>
      </c>
      <c r="C45" s="20">
        <v>0</v>
      </c>
      <c r="D45" s="19">
        <v>0</v>
      </c>
      <c r="E45" s="19">
        <v>0</v>
      </c>
      <c r="F45" s="20">
        <v>0</v>
      </c>
      <c r="G45" s="19">
        <v>0</v>
      </c>
      <c r="H45" s="19">
        <f>D45+G45</f>
      </c>
      <c r="I45" s="19">
        <v>0</v>
      </c>
      <c r="J45" s="20">
        <v>0</v>
      </c>
      <c r="K45" s="19">
        <v>0</v>
      </c>
      <c r="L45" s="19">
        <v>1</v>
      </c>
      <c r="M45" s="20">
        <v>2.07</v>
      </c>
      <c r="N45" s="19">
        <v>202.86</v>
      </c>
      <c r="O45" s="19">
        <f>K45+N45</f>
      </c>
      <c r="P45" s="19">
        <f>B45+E45+I45+L45</f>
      </c>
      <c r="Q45" s="20">
        <f>C45+F45+J45+M45</f>
      </c>
      <c r="R45" s="19">
        <f>H45+O45</f>
      </c>
      <c r="S45" s="21">
        <f>IF(Q45&gt;0, R45/Q45, 0)</f>
      </c>
    </row>
    <row r="46">
      <c r="A46" s="6" t="s">
        <v>39</v>
      </c>
      <c r="B46" s="19">
        <v>0</v>
      </c>
      <c r="C46" s="20">
        <v>0</v>
      </c>
      <c r="D46" s="19">
        <v>0</v>
      </c>
      <c r="E46" s="19">
        <v>0</v>
      </c>
      <c r="F46" s="20">
        <v>0</v>
      </c>
      <c r="G46" s="19">
        <v>0</v>
      </c>
      <c r="H46" s="19">
        <f>D46+G46</f>
      </c>
      <c r="I46" s="19">
        <v>0</v>
      </c>
      <c r="J46" s="20">
        <v>0</v>
      </c>
      <c r="K46" s="19">
        <v>0</v>
      </c>
      <c r="L46" s="19">
        <v>1</v>
      </c>
      <c r="M46" s="20">
        <v>2.04</v>
      </c>
      <c r="N46" s="19">
        <v>222.14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40</v>
      </c>
      <c r="B47" s="19">
        <v>0</v>
      </c>
      <c r="C47" s="20">
        <v>0</v>
      </c>
      <c r="D47" s="19">
        <v>0</v>
      </c>
      <c r="E47" s="19">
        <v>0</v>
      </c>
      <c r="F47" s="20">
        <v>0</v>
      </c>
      <c r="G47" s="19">
        <v>0</v>
      </c>
      <c r="H47" s="19">
        <f>D47+G47</f>
      </c>
      <c r="I47" s="19">
        <v>0</v>
      </c>
      <c r="J47" s="20">
        <v>0</v>
      </c>
      <c r="K47" s="19">
        <v>0</v>
      </c>
      <c r="L47" s="19">
        <v>1</v>
      </c>
      <c r="M47" s="20">
        <v>1.6</v>
      </c>
      <c r="N47" s="19">
        <v>0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41</v>
      </c>
      <c r="B48" s="19">
        <v>0</v>
      </c>
      <c r="C48" s="20">
        <v>0</v>
      </c>
      <c r="D48" s="19">
        <v>0</v>
      </c>
      <c r="E48" s="19">
        <v>0</v>
      </c>
      <c r="F48" s="20">
        <v>0</v>
      </c>
      <c r="G48" s="19">
        <v>0</v>
      </c>
      <c r="H48" s="19">
        <f>D48+G48</f>
      </c>
      <c r="I48" s="19">
        <v>0</v>
      </c>
      <c r="J48" s="20">
        <v>0</v>
      </c>
      <c r="K48" s="19">
        <v>0</v>
      </c>
      <c r="L48" s="19">
        <v>1</v>
      </c>
      <c r="M48" s="20">
        <v>1.08</v>
      </c>
      <c r="N48" s="19">
        <v>0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42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0</v>
      </c>
      <c r="J49" s="20">
        <v>0</v>
      </c>
      <c r="K49" s="19">
        <v>0</v>
      </c>
      <c r="L49" s="19">
        <v>4</v>
      </c>
      <c r="M49" s="20">
        <v>8.6</v>
      </c>
      <c r="N49" s="19">
        <v>877.92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43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1</v>
      </c>
      <c r="M50" s="20">
        <v>1.53</v>
      </c>
      <c r="N50" s="19">
        <v>0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44</v>
      </c>
      <c r="B51" s="19">
        <v>0</v>
      </c>
      <c r="C51" s="20">
        <v>0</v>
      </c>
      <c r="D51" s="19">
        <v>0</v>
      </c>
      <c r="E51" s="19">
        <v>0</v>
      </c>
      <c r="F51" s="20">
        <v>0</v>
      </c>
      <c r="G51" s="19">
        <v>0</v>
      </c>
      <c r="H51" s="19">
        <f>D51+G51</f>
      </c>
      <c r="I51" s="19">
        <v>97</v>
      </c>
      <c r="J51" s="20">
        <v>136.12</v>
      </c>
      <c r="K51" s="19">
        <v>13995.51</v>
      </c>
      <c r="L51" s="19">
        <v>0</v>
      </c>
      <c r="M51" s="20">
        <v>0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45</v>
      </c>
      <c r="B52" s="19">
        <v>0</v>
      </c>
      <c r="C52" s="20">
        <v>0</v>
      </c>
      <c r="D52" s="19">
        <v>0</v>
      </c>
      <c r="E52" s="19">
        <v>0</v>
      </c>
      <c r="F52" s="20">
        <v>0</v>
      </c>
      <c r="G52" s="19">
        <v>0</v>
      </c>
      <c r="H52" s="19">
        <f>D52+G52</f>
      </c>
      <c r="I52" s="19">
        <v>369</v>
      </c>
      <c r="J52" s="20">
        <v>557.7</v>
      </c>
      <c r="K52" s="19">
        <v>54931.66</v>
      </c>
      <c r="L52" s="19">
        <v>0</v>
      </c>
      <c r="M52" s="20">
        <v>0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18</v>
      </c>
      <c r="B53" s="19">
        <v>0</v>
      </c>
      <c r="C53" s="20">
        <v>0</v>
      </c>
      <c r="D53" s="19">
        <v>0</v>
      </c>
      <c r="E53" s="19">
        <v>0</v>
      </c>
      <c r="F53" s="20">
        <v>0</v>
      </c>
      <c r="G53" s="19">
        <v>0</v>
      </c>
      <c r="H53" s="19">
        <f>D53+G53</f>
      </c>
      <c r="I53" s="19">
        <v>1</v>
      </c>
      <c r="J53" s="20">
        <v>1.84</v>
      </c>
      <c r="K53" s="19">
        <v>145.36</v>
      </c>
      <c r="L53" s="19">
        <v>0</v>
      </c>
      <c r="M53" s="20">
        <v>0</v>
      </c>
      <c r="N53" s="19">
        <v>0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>
      <c r="A54" s="6" t="s">
        <v>14</v>
      </c>
      <c r="B54" s="19">
        <v>0</v>
      </c>
      <c r="C54" s="20">
        <v>0</v>
      </c>
      <c r="D54" s="19">
        <v>0</v>
      </c>
      <c r="E54" s="19">
        <v>0</v>
      </c>
      <c r="F54" s="20">
        <v>0</v>
      </c>
      <c r="G54" s="19">
        <v>0</v>
      </c>
      <c r="H54" s="19">
        <f>D54+G54</f>
      </c>
      <c r="I54" s="19">
        <v>0</v>
      </c>
      <c r="J54" s="20">
        <v>0</v>
      </c>
      <c r="K54" s="19">
        <v>0</v>
      </c>
      <c r="L54" s="19">
        <v>27</v>
      </c>
      <c r="M54" s="20">
        <v>27.91</v>
      </c>
      <c r="N54" s="19">
        <v>2539.81</v>
      </c>
      <c r="O54" s="19">
        <f>K54+N54</f>
      </c>
      <c r="P54" s="19">
        <f>B54+E54+I54+L54</f>
      </c>
      <c r="Q54" s="20">
        <f>C54+F54+J54+M54</f>
      </c>
      <c r="R54" s="19">
        <f>H54+O54</f>
      </c>
      <c r="S54" s="21">
        <f>IF(Q54&gt;0, R54/Q54, 0)</f>
      </c>
    </row>
    <row r="55" s="2" customFormat="1">
      <c r="A55" s="15" t="s">
        <v>46</v>
      </c>
      <c r="B55" s="16">
        <f>SUM(B56:B56)</f>
      </c>
      <c r="C55" s="17">
        <f>SUM(C56:C56)</f>
      </c>
      <c r="D55" s="16">
        <f>SUM(D56:D56)</f>
      </c>
      <c r="E55" s="16">
        <f>SUM(E56:E56)</f>
      </c>
      <c r="F55" s="17">
        <f>SUM(F56:F56)</f>
      </c>
      <c r="G55" s="16">
        <f>SUM(G56:G56)</f>
      </c>
      <c r="H55" s="16">
        <f>SUM(H56:H56)</f>
      </c>
      <c r="I55" s="16">
        <f>SUM(I56:I56)</f>
      </c>
      <c r="J55" s="17">
        <f>SUM(J56:J56)</f>
      </c>
      <c r="K55" s="16">
        <f>SUM(K56:K56)</f>
      </c>
      <c r="L55" s="16">
        <f>SUM(L56:L56)</f>
      </c>
      <c r="M55" s="17">
        <f>SUM(M56:M56)</f>
      </c>
      <c r="N55" s="16">
        <f>SUM(N56:N56)</f>
      </c>
      <c r="O55" s="16">
        <f>SUM(O56:O56)</f>
      </c>
      <c r="P55" s="16">
        <f>SUM(P56:P56)</f>
      </c>
      <c r="Q55" s="17">
        <f>SUM(Q56:Q56)</f>
      </c>
      <c r="R55" s="16">
        <f>SUM(R56:R56)</f>
      </c>
      <c r="S55" s="18">
        <f>IF(Q55&gt;0, R55/Q55, 0)</f>
      </c>
    </row>
    <row r="56">
      <c r="A56" s="6" t="s">
        <v>14</v>
      </c>
      <c r="B56" s="19">
        <v>13</v>
      </c>
      <c r="C56" s="20">
        <v>20.35</v>
      </c>
      <c r="D56" s="19">
        <v>1790.8</v>
      </c>
      <c r="E56" s="19">
        <v>0</v>
      </c>
      <c r="F56" s="20">
        <v>0</v>
      </c>
      <c r="G56" s="19">
        <v>0</v>
      </c>
      <c r="H56" s="19">
        <f>D56+G56</f>
      </c>
      <c r="I56" s="19">
        <v>0</v>
      </c>
      <c r="J56" s="20">
        <v>0</v>
      </c>
      <c r="K56" s="19">
        <v>0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 s="2" customFormat="1">
      <c r="A57" s="8" t="s">
        <v>47</v>
      </c>
      <c r="B57" s="22">
        <f>B5+B8+B12+B14+B17+B19+B22+B26+B29+B33+B38+B41+B55</f>
      </c>
      <c r="C57" s="23">
        <f>C5+C8+C12+C14+C17+C19+C22+C26+C29+C33+C38+C41+C55</f>
      </c>
      <c r="D57" s="22">
        <f>D5+D8+D12+D14+D17+D19+D22+D26+D29+D33+D38+D41+D55</f>
      </c>
      <c r="E57" s="22">
        <f>E5+E8+E12+E14+E17+E19+E22+E26+E29+E33+E38+E41+E55</f>
      </c>
      <c r="F57" s="23">
        <f>F5+F8+F12+F14+F17+F19+F22+F26+F29+F33+F38+F41+F55</f>
      </c>
      <c r="G57" s="22">
        <f>G5+G8+G12+G14+G17+G19+G22+G26+G29+G33+G38+G41+G55</f>
      </c>
      <c r="H57" s="22">
        <f>H5+H8+H12+H14+H17+H19+H22+H26+H29+H33+H38+H41+H55</f>
      </c>
      <c r="I57" s="22">
        <f>I5+I8+I12+I14+I17+I19+I22+I26+I29+I33+I38+I41+I55</f>
      </c>
      <c r="J57" s="23">
        <f>J5+J8+J12+J14+J17+J19+J22+J26+J29+J33+J38+J41+J55</f>
      </c>
      <c r="K57" s="22">
        <f>K5+K8+K12+K14+K17+K19+K22+K26+K29+K33+K38+K41+K55</f>
      </c>
      <c r="L57" s="22">
        <f>L5+L8+L12+L14+L17+L19+L22+L26+L29+L33+L38+L41+L55</f>
      </c>
      <c r="M57" s="23">
        <f>M5+M8+M12+M14+M17+M19+M22+M26+M29+M33+M38+M41+M55</f>
      </c>
      <c r="N57" s="22">
        <f>N5+N8+N12+N14+N17+N19+N22+N26+N29+N33+N38+N41+N55</f>
      </c>
      <c r="O57" s="22">
        <f>O5+O8+O12+O14+O17+O19+O22+O26+O29+O33+O38+O41+O55</f>
      </c>
      <c r="P57" s="22">
        <f>P5+P8+P12+P14+P17+P19+P22+P26+P29+P33+P38+P41+P55</f>
      </c>
      <c r="Q57" s="23">
        <f>Q5+Q8+Q12+Q14+Q17+Q19+Q22+Q26+Q29+Q33+Q38+Q41+Q55</f>
      </c>
      <c r="R57" s="22">
        <f>R5+R8+R12+R14+R17+R19+R22+R26+R29+R33+R38+R41+R55</f>
      </c>
      <c r="S57" s="24">
        <f>IF(Q57&gt;0, R57/Q57, 0)</f>
      </c>
    </row>
    <row r="58" s="2" customFormat="1">
      <c r="A58" s="25" t="s">
        <v>48</v>
      </c>
      <c r="B58" s="26">
        <f>IF(P57&gt;0, B57/P57, 0)</f>
      </c>
      <c r="C58" s="17"/>
      <c r="D58" s="16"/>
      <c r="E58" s="26">
        <f>IF(P57&gt;0, E57/P57, 0)</f>
      </c>
      <c r="F58" s="17"/>
      <c r="G58" s="16"/>
      <c r="H58" s="16"/>
      <c r="I58" s="26">
        <f>IF(P57&gt;0, I57/P57, 0)</f>
      </c>
      <c r="J58" s="17"/>
      <c r="K58" s="16"/>
      <c r="L58" s="26">
        <f>IF(P57&gt;0, L57/P57, 0)</f>
      </c>
      <c r="M58" s="17"/>
      <c r="N58" s="16"/>
      <c r="O58" s="16"/>
      <c r="P58" s="26">
        <f>IF(P57&gt;0, P57/P57, 0)</f>
      </c>
      <c r="Q58" s="17"/>
      <c r="R58" s="16"/>
      <c r="S58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