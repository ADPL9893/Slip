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<sst xmlns="http://schemas.openxmlformats.org/spreadsheetml/2006/main" count="37" uniqueCount="37">
  <si>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30-05-2026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</si>
  <si>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</si>
  <si>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</si>
  <si>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</si>
  <si>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</si>
  <si>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</si>
  <si>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</si>
  <si>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</si>
  <si>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</si>
  <si>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</si>
  <si>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</si>
  <si>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Portal</t>
  </si>
  <si>
    <t>Hitesh Satani</t>
  </si>
  <si>
    <t>Hiten</t>
  </si>
  <si>
    <t>NEWYORK</t>
  </si>
  <si>
    <t>Anand Naliyadhara</t>
  </si>
  <si>
    <t>Sahil</t>
  </si>
  <si>
    <t>Aayush</t>
  </si>
  <si>
    <t>Pankti</t>
  </si>
  <si>
    <t>Jemish</t>
  </si>
  <si>
    <t>Asha Prajapati</t>
  </si>
  <si>
    <t>Nirali kalsara</t>
  </si>
  <si>
    <t>Arpit Radadiya</t>
  </si>
  <si>
    <t>Shraddha Patel</t>
  </si>
  <si>
    <t>VDB</t>
  </si>
  <si>
    <t>Ketan Kathiriya</t>
  </si>
  <si>
    <t>Bhawna Jagetiya</t>
  </si>
  <si>
    <t>Mihir</t>
  </si>
  <si>
    <t>ADMIN</t>
  </si>
  <si>
    <t>Parth Shah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</si>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</sst>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164" applyNumberFormat="1" fontId="2" applyFont="1" fillId="5" applyFill="1" borderId="1" applyBorder="1" xfId="0" applyAlignment="1">
      <alignment horizontal="center" vertical="center"/>
    </xf>
    <xf numFmtId="165" applyNumberFormat="1" fontId="2" applyFont="1" fillId="5" applyFill="1" borderId="1" applyBorder="1" xfId="0" applyAlignment="1">
      <alignment horizontal="center" vertical="center"/>
    </xf>
    <xf numFmtId="166" applyNumberFormat="1" fontId="2" applyFont="1" fillId="5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496</v>
      </c>
      <c r="D4" s="6">
        <v>1141.11</v>
      </c>
      <c r="E4" s="5">
        <v>108460.27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702</v>
      </c>
      <c r="D5" s="6">
        <v>931.48</v>
      </c>
      <c r="E5" s="5">
        <v>77165.19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705</v>
      </c>
      <c r="D6" s="6">
        <v>806.87</v>
      </c>
      <c r="E6" s="5">
        <v>71636.24</v>
      </c>
      <c r="F6" s="7">
        <f>IF(D6&gt;0,E6/D6,"")</f>
      </c>
      <c r="G6" s="8">
        <f>IF(E32&gt;0,E6/E32,"")</f>
      </c>
    </row>
    <row r="7">
      <c r="A7" s="3" t="s">
        <v>13</v>
      </c>
      <c r="B7" s="9" t="s">
        <v>14</v>
      </c>
      <c r="C7" s="5">
        <v>219</v>
      </c>
      <c r="D7" s="6">
        <v>873.29</v>
      </c>
      <c r="E7" s="5">
        <v>69137.8</v>
      </c>
      <c r="F7" s="7">
        <f>IF(D7&gt;0,E7/D7,"")</f>
      </c>
      <c r="G7" s="8">
        <f>IF(E32&gt;0,E7/E32,"")</f>
      </c>
    </row>
    <row r="8">
      <c r="A8" s="3" t="s">
        <v>15</v>
      </c>
      <c r="B8" s="3" t="s">
        <v>10</v>
      </c>
      <c r="C8" s="5">
        <v>533</v>
      </c>
      <c r="D8" s="6">
        <v>684.9</v>
      </c>
      <c r="E8" s="5">
        <v>58617.17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14</v>
      </c>
      <c r="C9" s="5">
        <v>193</v>
      </c>
      <c r="D9" s="6">
        <v>289.64</v>
      </c>
      <c r="E9" s="5">
        <v>31701.95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230</v>
      </c>
      <c r="D10" s="6">
        <v>299.88</v>
      </c>
      <c r="E10" s="5">
        <v>24869.77</v>
      </c>
      <c r="F10" s="7">
        <f>IF(D10&gt;0,E10/D10,"")</f>
      </c>
      <c r="G10" s="8">
        <f>IF(E32&gt;0,E10/E32,"")</f>
      </c>
    </row>
    <row r="11">
      <c r="A11" s="3" t="s">
        <v>18</v>
      </c>
      <c r="B11" s="9" t="s">
        <v>14</v>
      </c>
      <c r="C11" s="5">
        <v>88</v>
      </c>
      <c r="D11" s="6">
        <v>208.8</v>
      </c>
      <c r="E11" s="5">
        <v>23810.46</v>
      </c>
      <c r="F11" s="7">
        <f>IF(D11&gt;0,E11/D11,"")</f>
      </c>
      <c r="G11" s="8">
        <f>IF(E32&gt;0,E11/E32,"")</f>
      </c>
    </row>
    <row r="12">
      <c r="A12" s="3" t="s">
        <v>19</v>
      </c>
      <c r="B12" s="9" t="s">
        <v>14</v>
      </c>
      <c r="C12" s="5">
        <v>58</v>
      </c>
      <c r="D12" s="6">
        <v>123.91</v>
      </c>
      <c r="E12" s="5">
        <v>13331.73</v>
      </c>
      <c r="F12" s="7">
        <f>IF(D12&gt;0,E12/D12,"")</f>
      </c>
      <c r="G12" s="8">
        <f>IF(E32&gt;0,E12/E32,"")</f>
      </c>
    </row>
    <row r="13">
      <c r="A13" s="3" t="s">
        <v>20</v>
      </c>
      <c r="B13" s="3" t="s">
        <v>10</v>
      </c>
      <c r="C13" s="5">
        <v>82</v>
      </c>
      <c r="D13" s="6">
        <v>122.45</v>
      </c>
      <c r="E13" s="5">
        <v>11252.43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10</v>
      </c>
      <c r="C14" s="5">
        <v>92</v>
      </c>
      <c r="D14" s="6">
        <v>125.8</v>
      </c>
      <c r="E14" s="5">
        <v>10779.37</v>
      </c>
      <c r="F14" s="7">
        <f>IF(D14&gt;0,E14/D14,"")</f>
      </c>
      <c r="G14" s="8">
        <f>IF(E32&gt;0,E14/E32,"")</f>
      </c>
    </row>
    <row r="15">
      <c r="A15" s="3" t="s">
        <v>12</v>
      </c>
      <c r="B15" s="3" t="s">
        <v>9</v>
      </c>
      <c r="C15" s="5">
        <v>80</v>
      </c>
      <c r="D15" s="6">
        <v>95.1</v>
      </c>
      <c r="E15" s="5">
        <v>10461</v>
      </c>
      <c r="F15" s="7">
        <f>IF(D15&gt;0,E15/D15,"")</f>
      </c>
      <c r="G15" s="8">
        <f>IF(E32&gt;0,E15/E32,"")</f>
      </c>
    </row>
    <row r="16">
      <c r="A16" s="3" t="s">
        <v>20</v>
      </c>
      <c r="B16" s="3" t="s">
        <v>9</v>
      </c>
      <c r="C16" s="5">
        <v>55</v>
      </c>
      <c r="D16" s="6">
        <v>93.52</v>
      </c>
      <c r="E16" s="5">
        <v>9319.65</v>
      </c>
      <c r="F16" s="7">
        <f>IF(D16&gt;0,E16/D16,"")</f>
      </c>
      <c r="G16" s="8">
        <f>IF(E32&gt;0,E16/E32,"")</f>
      </c>
    </row>
    <row r="17">
      <c r="A17" s="3" t="s">
        <v>22</v>
      </c>
      <c r="B17" s="3" t="s">
        <v>9</v>
      </c>
      <c r="C17" s="5">
        <v>90</v>
      </c>
      <c r="D17" s="6">
        <v>107.01</v>
      </c>
      <c r="E17" s="5">
        <v>9209.98</v>
      </c>
      <c r="F17" s="7">
        <f>IF(D17&gt;0,E17/D17,"")</f>
      </c>
      <c r="G17" s="8">
        <f>IF(E32&gt;0,E17/E32,"")</f>
      </c>
    </row>
    <row r="18">
      <c r="A18" s="3" t="s">
        <v>23</v>
      </c>
      <c r="B18" s="3" t="s">
        <v>10</v>
      </c>
      <c r="C18" s="5">
        <v>53</v>
      </c>
      <c r="D18" s="6">
        <v>73.75</v>
      </c>
      <c r="E18" s="5">
        <v>5919.21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34</v>
      </c>
      <c r="D19" s="6">
        <v>50.77</v>
      </c>
      <c r="E19" s="5">
        <v>4635.6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14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20</v>
      </c>
      <c r="D21" s="6">
        <v>23.51</v>
      </c>
      <c r="E21" s="5">
        <v>1952.13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9</v>
      </c>
      <c r="D22" s="6">
        <v>15.98</v>
      </c>
      <c r="E22" s="5">
        <v>1344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9</v>
      </c>
      <c r="D23" s="6">
        <v>11.09</v>
      </c>
      <c r="E23" s="5">
        <v>879.87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10.74</v>
      </c>
      <c r="E24" s="5">
        <v>838.99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11</v>
      </c>
      <c r="B27" s="9" t="s">
        <v>14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14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14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