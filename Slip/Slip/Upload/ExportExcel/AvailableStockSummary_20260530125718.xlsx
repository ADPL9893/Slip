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ummary" sheetId="6" r:id="rId7"/>
  </sheets>
  <calcPr fullCalcOnLoad="1" fullPrecision="1"/>
</workbook>
</file>

<file path=xl/sharedStrings.xml><?xml version="1.0" encoding="utf-8"?>
<sst xmlns="http://schemas.openxmlformats.org/spreadsheetml/2006/main" count="70" uniqueCount="70">
  <si>
    <t>ROUND 3EX (IGI STOCK) PERCENTAGE WISE REPORT</t>
  </si>
  <si>
    <t>30-05-26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</si>
  <si>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</si>
  <si>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</si>
  <si>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</si>
  <si>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</si>
  <si>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</si>
  <si>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</si>
  <si>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</si>
  <si>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</si>
  <si>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</si>
  <si>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</si>
  <si>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</si>
  <si>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</si>
  <si>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</si>
  <si>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</si>
  <si>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</si>
  <si>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</si>
  <si>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</si>
  <si>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</si>
  <si>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</si>
  <si>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</si>
  <si>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</si>
  <si>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</si>
  <si>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</si>
  <si>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</si>
  <si>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</si>
  <si>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</si>
  <si>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</si>
  <si>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</si>
  <si>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</si>
  <si>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</si>
  <si>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</si>
  <si>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4.11-4.49</t>
  </si>
  <si>
    <t>4.50-4.99</t>
  </si>
  <si>
    <t>5.00-5.10</t>
  </si>
  <si>
    <t>5.11-5.99</t>
  </si>
  <si>
    <t>6.00-6.99</t>
  </si>
  <si>
    <t>7.00-7.99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</si>
  <si>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</si>
  <si>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</si>
  <si>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</si>
  <si>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</si>
  <si>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</si>
  <si>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</si>
  <si>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</si>
  <si>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</si>
  <si>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</si>
  <si>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</si>
  <si>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</si>
  <si>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</si>
  <si>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/>
  </si>
  <si>
    <t>3.61-3.99</t>
  </si>
  <si>
    <t>9.00-9.99</t>
  </si>
  <si>
    <t>30-05-2026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</si>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</sst>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50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15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0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0.81</v>
      </c>
      <c r="D4" s="8">
        <v>987</v>
      </c>
      <c r="E4" s="7">
        <v>15.68</v>
      </c>
      <c r="F4" s="8">
        <v>1319</v>
      </c>
      <c r="G4" s="7">
        <v>20.95</v>
      </c>
      <c r="H4" s="8">
        <v>337</v>
      </c>
      <c r="I4" s="7">
        <v>5.35</v>
      </c>
      <c r="J4" s="8">
        <v>217</v>
      </c>
      <c r="K4" s="7">
        <v>3.45</v>
      </c>
      <c r="L4" s="8">
        <v>17</v>
      </c>
      <c r="M4" s="7">
        <v>0.26</v>
      </c>
      <c r="N4" s="8">
        <v>2928</v>
      </c>
      <c r="O4" s="9">
        <v>46.5</v>
      </c>
    </row>
    <row r="5">
      <c r="A5" s="10" t="s">
        <v>13</v>
      </c>
      <c r="B5" s="11">
        <v>12</v>
      </c>
      <c r="C5" s="10">
        <v>0.19</v>
      </c>
      <c r="D5" s="11">
        <v>265</v>
      </c>
      <c r="E5" s="10">
        <v>4.21</v>
      </c>
      <c r="F5" s="11">
        <v>622</v>
      </c>
      <c r="G5" s="10">
        <v>9.88</v>
      </c>
      <c r="H5" s="11">
        <v>106</v>
      </c>
      <c r="I5" s="10">
        <v>1.68</v>
      </c>
      <c r="J5" s="11">
        <v>53</v>
      </c>
      <c r="K5" s="10">
        <v>0.84</v>
      </c>
      <c r="L5" s="11">
        <v>2</v>
      </c>
      <c r="M5" s="10">
        <v>0.03</v>
      </c>
      <c r="N5" s="12">
        <v>1060</v>
      </c>
      <c r="O5" s="13">
        <v>16.83</v>
      </c>
    </row>
    <row r="6">
      <c r="A6" s="10" t="s">
        <v>14</v>
      </c>
      <c r="B6" s="11">
        <v>19</v>
      </c>
      <c r="C6" s="10">
        <v>0.3</v>
      </c>
      <c r="D6" s="11">
        <v>342</v>
      </c>
      <c r="E6" s="10">
        <v>5.43</v>
      </c>
      <c r="F6" s="11">
        <v>425</v>
      </c>
      <c r="G6" s="10">
        <v>6.75</v>
      </c>
      <c r="H6" s="11">
        <v>124</v>
      </c>
      <c r="I6" s="10">
        <v>1.97</v>
      </c>
      <c r="J6" s="11">
        <v>112</v>
      </c>
      <c r="K6" s="10">
        <v>1.78</v>
      </c>
      <c r="L6" s="11">
        <v>4</v>
      </c>
      <c r="M6" s="10">
        <v>0.06</v>
      </c>
      <c r="N6" s="12">
        <v>1026</v>
      </c>
      <c r="O6" s="13">
        <v>16.29</v>
      </c>
    </row>
    <row r="7">
      <c r="A7" s="10" t="s">
        <v>15</v>
      </c>
      <c r="B7" s="11">
        <v>15</v>
      </c>
      <c r="C7" s="10">
        <v>0.24</v>
      </c>
      <c r="D7" s="11">
        <v>265</v>
      </c>
      <c r="E7" s="10">
        <v>4.21</v>
      </c>
      <c r="F7" s="11">
        <v>248</v>
      </c>
      <c r="G7" s="10">
        <v>3.94</v>
      </c>
      <c r="H7" s="11">
        <v>97</v>
      </c>
      <c r="I7" s="10">
        <v>1.54</v>
      </c>
      <c r="J7" s="11">
        <v>41</v>
      </c>
      <c r="K7" s="10">
        <v>0.65</v>
      </c>
      <c r="L7" s="11">
        <v>11</v>
      </c>
      <c r="M7" s="10">
        <v>0.17</v>
      </c>
      <c r="N7" s="12">
        <v>677</v>
      </c>
      <c r="O7" s="13">
        <v>10.75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1.62</v>
      </c>
      <c r="F8" s="11">
        <v>19</v>
      </c>
      <c r="G8" s="10">
        <v>0.3</v>
      </c>
      <c r="H8" s="11">
        <v>9</v>
      </c>
      <c r="I8" s="10">
        <v>0.14</v>
      </c>
      <c r="J8" s="11">
        <v>8</v>
      </c>
      <c r="K8" s="10">
        <v>0.13</v>
      </c>
      <c r="L8" s="11"/>
      <c r="M8" s="10"/>
      <c r="N8" s="12">
        <v>143</v>
      </c>
      <c r="O8" s="13">
        <v>2.27</v>
      </c>
    </row>
    <row r="9">
      <c r="A9" s="10" t="s">
        <v>17</v>
      </c>
      <c r="B9" s="11"/>
      <c r="C9" s="10"/>
      <c r="D9" s="11">
        <v>13</v>
      </c>
      <c r="E9" s="10">
        <v>0.21</v>
      </c>
      <c r="F9" s="11">
        <v>4</v>
      </c>
      <c r="G9" s="10">
        <v>0.06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21</v>
      </c>
      <c r="O9" s="13">
        <v>0.34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0.44</v>
      </c>
      <c r="F11" s="8">
        <v>47</v>
      </c>
      <c r="G11" s="7">
        <v>0.74</v>
      </c>
      <c r="H11" s="8">
        <v>33</v>
      </c>
      <c r="I11" s="7">
        <v>0.53</v>
      </c>
      <c r="J11" s="8">
        <v>16</v>
      </c>
      <c r="K11" s="7">
        <v>0.25</v>
      </c>
      <c r="L11" s="12"/>
      <c r="M11" s="14"/>
      <c r="N11" s="8">
        <v>124</v>
      </c>
      <c r="O11" s="9">
        <v>1.96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0.16</v>
      </c>
      <c r="F13" s="11">
        <v>27</v>
      </c>
      <c r="G13" s="10">
        <v>0.43</v>
      </c>
      <c r="H13" s="11">
        <v>18</v>
      </c>
      <c r="I13" s="10">
        <v>0.29</v>
      </c>
      <c r="J13" s="11">
        <v>9</v>
      </c>
      <c r="K13" s="10">
        <v>0.14</v>
      </c>
      <c r="L13" s="11"/>
      <c r="M13" s="10"/>
      <c r="N13" s="12">
        <v>64</v>
      </c>
      <c r="O13" s="13">
        <v>1.02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0.16</v>
      </c>
      <c r="J14" s="11">
        <v>3</v>
      </c>
      <c r="K14" s="10">
        <v>0.05</v>
      </c>
      <c r="L14" s="11"/>
      <c r="M14" s="10"/>
      <c r="N14" s="12">
        <v>35</v>
      </c>
      <c r="O14" s="13">
        <v>0.55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208</v>
      </c>
      <c r="E17" s="7">
        <v>3.31</v>
      </c>
      <c r="F17" s="8">
        <v>331</v>
      </c>
      <c r="G17" s="7">
        <v>5.26</v>
      </c>
      <c r="H17" s="8">
        <v>117</v>
      </c>
      <c r="I17" s="7">
        <v>1.85</v>
      </c>
      <c r="J17" s="8">
        <v>28</v>
      </c>
      <c r="K17" s="7">
        <v>0.45</v>
      </c>
      <c r="L17" s="8">
        <v>5</v>
      </c>
      <c r="M17" s="7">
        <v>0.09</v>
      </c>
      <c r="N17" s="8">
        <v>695</v>
      </c>
      <c r="O17" s="9">
        <v>11.06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0.64</v>
      </c>
      <c r="F18" s="11">
        <v>66</v>
      </c>
      <c r="G18" s="10">
        <v>1.05</v>
      </c>
      <c r="H18" s="11">
        <v>34</v>
      </c>
      <c r="I18" s="10">
        <v>0.54</v>
      </c>
      <c r="J18" s="11">
        <v>7</v>
      </c>
      <c r="K18" s="10">
        <v>0.11</v>
      </c>
      <c r="L18" s="11">
        <v>3</v>
      </c>
      <c r="M18" s="10">
        <v>0.05</v>
      </c>
      <c r="N18" s="12">
        <v>153</v>
      </c>
      <c r="O18" s="13">
        <v>2.44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1.22</v>
      </c>
      <c r="F19" s="11">
        <v>94</v>
      </c>
      <c r="G19" s="10">
        <v>1.49</v>
      </c>
      <c r="H19" s="11">
        <v>33</v>
      </c>
      <c r="I19" s="10">
        <v>0.52</v>
      </c>
      <c r="J19" s="11">
        <v>8</v>
      </c>
      <c r="K19" s="10">
        <v>0.13</v>
      </c>
      <c r="L19" s="11"/>
      <c r="M19" s="10"/>
      <c r="N19" s="12">
        <v>214</v>
      </c>
      <c r="O19" s="13">
        <v>3.39</v>
      </c>
    </row>
    <row r="20">
      <c r="A20" s="10" t="s">
        <v>15</v>
      </c>
      <c r="B20" s="11">
        <v>1</v>
      </c>
      <c r="C20" s="10">
        <v>0.02</v>
      </c>
      <c r="D20" s="11">
        <v>68</v>
      </c>
      <c r="E20" s="10">
        <v>1.08</v>
      </c>
      <c r="F20" s="11">
        <v>140</v>
      </c>
      <c r="G20" s="10">
        <v>2.22</v>
      </c>
      <c r="H20" s="11">
        <v>39</v>
      </c>
      <c r="I20" s="10">
        <v>0.62</v>
      </c>
      <c r="J20" s="11">
        <v>13</v>
      </c>
      <c r="K20" s="10">
        <v>0.21</v>
      </c>
      <c r="L20" s="11">
        <v>1</v>
      </c>
      <c r="M20" s="10">
        <v>0.02</v>
      </c>
      <c r="N20" s="12">
        <v>262</v>
      </c>
      <c r="O20" s="13">
        <v>4.17</v>
      </c>
    </row>
    <row r="21">
      <c r="A21" s="10" t="s">
        <v>16</v>
      </c>
      <c r="B21" s="11"/>
      <c r="C21" s="10"/>
      <c r="D21" s="11">
        <v>17</v>
      </c>
      <c r="E21" s="10">
        <v>0.27</v>
      </c>
      <c r="F21" s="11">
        <v>27</v>
      </c>
      <c r="G21" s="10">
        <v>0.43</v>
      </c>
      <c r="H21" s="11">
        <v>11</v>
      </c>
      <c r="I21" s="10">
        <v>0.17</v>
      </c>
      <c r="J21" s="11"/>
      <c r="K21" s="10"/>
      <c r="L21" s="11"/>
      <c r="M21" s="10"/>
      <c r="N21" s="12">
        <v>55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4</v>
      </c>
      <c r="G26" s="10">
        <v>0.06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14</v>
      </c>
      <c r="O26" s="13">
        <v>0.22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0.1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0.26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/>
      <c r="G28" s="10"/>
      <c r="H28" s="11"/>
      <c r="I28" s="10"/>
      <c r="J28" s="11"/>
      <c r="K28" s="10"/>
      <c r="L28" s="11"/>
      <c r="M28" s="10"/>
      <c r="N28" s="12">
        <v>2</v>
      </c>
      <c r="O28" s="13">
        <v>0.03</v>
      </c>
    </row>
    <row r="29">
      <c r="A29" s="7" t="s">
        <v>22</v>
      </c>
      <c r="B29" s="8">
        <v>12</v>
      </c>
      <c r="C29" s="7">
        <v>0.2</v>
      </c>
      <c r="D29" s="8">
        <v>388</v>
      </c>
      <c r="E29" s="7">
        <v>6.16</v>
      </c>
      <c r="F29" s="8">
        <v>902</v>
      </c>
      <c r="G29" s="7">
        <v>14.33</v>
      </c>
      <c r="H29" s="8">
        <v>311</v>
      </c>
      <c r="I29" s="7">
        <v>4.94</v>
      </c>
      <c r="J29" s="8">
        <v>79</v>
      </c>
      <c r="K29" s="7">
        <v>1.25</v>
      </c>
      <c r="L29" s="8">
        <v>6</v>
      </c>
      <c r="M29" s="7">
        <v>0.1</v>
      </c>
      <c r="N29" s="8">
        <v>1698</v>
      </c>
      <c r="O29" s="9">
        <v>26.98</v>
      </c>
    </row>
    <row r="30">
      <c r="A30" s="10" t="s">
        <v>13</v>
      </c>
      <c r="B30" s="11">
        <v>1</v>
      </c>
      <c r="C30" s="10">
        <v>0.02</v>
      </c>
      <c r="D30" s="11">
        <v>114</v>
      </c>
      <c r="E30" s="10">
        <v>1.81</v>
      </c>
      <c r="F30" s="11">
        <v>306</v>
      </c>
      <c r="G30" s="10">
        <v>4.86</v>
      </c>
      <c r="H30" s="11">
        <v>64</v>
      </c>
      <c r="I30" s="10">
        <v>1.02</v>
      </c>
      <c r="J30" s="11">
        <v>29</v>
      </c>
      <c r="K30" s="10">
        <v>0.46</v>
      </c>
      <c r="L30" s="11">
        <v>2</v>
      </c>
      <c r="M30" s="10">
        <v>0.03</v>
      </c>
      <c r="N30" s="12">
        <v>516</v>
      </c>
      <c r="O30" s="13">
        <v>8.2</v>
      </c>
    </row>
    <row r="31">
      <c r="A31" s="10" t="s">
        <v>14</v>
      </c>
      <c r="B31" s="11">
        <v>7</v>
      </c>
      <c r="C31" s="10">
        <v>0.11</v>
      </c>
      <c r="D31" s="11">
        <v>124</v>
      </c>
      <c r="E31" s="10">
        <v>1.97</v>
      </c>
      <c r="F31" s="11">
        <v>306</v>
      </c>
      <c r="G31" s="10">
        <v>4.86</v>
      </c>
      <c r="H31" s="11">
        <v>133</v>
      </c>
      <c r="I31" s="10">
        <v>2.11</v>
      </c>
      <c r="J31" s="11">
        <v>21</v>
      </c>
      <c r="K31" s="10">
        <v>0.33</v>
      </c>
      <c r="L31" s="11">
        <v>2</v>
      </c>
      <c r="M31" s="10">
        <v>0.03</v>
      </c>
      <c r="N31" s="12">
        <v>593</v>
      </c>
      <c r="O31" s="13">
        <v>9.41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1.92</v>
      </c>
      <c r="F32" s="11">
        <v>258</v>
      </c>
      <c r="G32" s="10">
        <v>4.1</v>
      </c>
      <c r="H32" s="11">
        <v>106</v>
      </c>
      <c r="I32" s="10">
        <v>1.68</v>
      </c>
      <c r="J32" s="11">
        <v>25</v>
      </c>
      <c r="K32" s="10">
        <v>0.4</v>
      </c>
      <c r="L32" s="11">
        <v>1</v>
      </c>
      <c r="M32" s="10">
        <v>0.02</v>
      </c>
      <c r="N32" s="12">
        <v>514</v>
      </c>
      <c r="O32" s="13">
        <v>8.17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0.4</v>
      </c>
      <c r="F33" s="11">
        <v>30</v>
      </c>
      <c r="G33" s="10">
        <v>0.48</v>
      </c>
      <c r="H33" s="11">
        <v>8</v>
      </c>
      <c r="I33" s="10">
        <v>0.13</v>
      </c>
      <c r="J33" s="11">
        <v>4</v>
      </c>
      <c r="K33" s="10">
        <v>0.06</v>
      </c>
      <c r="L33" s="11">
        <v>1</v>
      </c>
      <c r="M33" s="10">
        <v>0.02</v>
      </c>
      <c r="N33" s="12">
        <v>69</v>
      </c>
      <c r="O33" s="13">
        <v>1.11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7" t="s">
        <v>23</v>
      </c>
      <c r="B35" s="12"/>
      <c r="C35" s="14"/>
      <c r="D35" s="8">
        <v>4</v>
      </c>
      <c r="E35" s="7">
        <v>0.07</v>
      </c>
      <c r="F35" s="8">
        <v>18</v>
      </c>
      <c r="G35" s="7">
        <v>0.3</v>
      </c>
      <c r="H35" s="8">
        <v>10</v>
      </c>
      <c r="I35" s="7">
        <v>0.16</v>
      </c>
      <c r="J35" s="8">
        <v>2</v>
      </c>
      <c r="K35" s="7">
        <v>0.04</v>
      </c>
      <c r="L35" s="12"/>
      <c r="M35" s="14"/>
      <c r="N35" s="8">
        <v>34</v>
      </c>
      <c r="O35" s="9">
        <v>0.57</v>
      </c>
    </row>
    <row r="36">
      <c r="A36" s="10" t="s">
        <v>13</v>
      </c>
      <c r="B36" s="11"/>
      <c r="C36" s="10"/>
      <c r="D36" s="11">
        <v>1</v>
      </c>
      <c r="E36" s="10">
        <v>0.02</v>
      </c>
      <c r="F36" s="11">
        <v>3</v>
      </c>
      <c r="G36" s="10">
        <v>0.05</v>
      </c>
      <c r="H36" s="11">
        <v>1</v>
      </c>
      <c r="I36" s="10">
        <v>0.02</v>
      </c>
      <c r="J36" s="11">
        <v>1</v>
      </c>
      <c r="K36" s="10">
        <v>0.02</v>
      </c>
      <c r="L36" s="11"/>
      <c r="M36" s="10"/>
      <c r="N36" s="12">
        <v>6</v>
      </c>
      <c r="O36" s="13">
        <v>0.11</v>
      </c>
    </row>
    <row r="37">
      <c r="A37" s="10" t="s">
        <v>14</v>
      </c>
      <c r="B37" s="11"/>
      <c r="C37" s="10"/>
      <c r="D37" s="11">
        <v>2</v>
      </c>
      <c r="E37" s="10">
        <v>0.03</v>
      </c>
      <c r="F37" s="11">
        <v>5</v>
      </c>
      <c r="G37" s="10">
        <v>0.08</v>
      </c>
      <c r="H37" s="11">
        <v>5</v>
      </c>
      <c r="I37" s="10">
        <v>0.08</v>
      </c>
      <c r="J37" s="11">
        <v>1</v>
      </c>
      <c r="K37" s="10">
        <v>0.02</v>
      </c>
      <c r="L37" s="11"/>
      <c r="M37" s="10"/>
      <c r="N37" s="12">
        <v>13</v>
      </c>
      <c r="O37" s="13">
        <v>0.21</v>
      </c>
    </row>
    <row r="38">
      <c r="A38" s="10" t="s">
        <v>15</v>
      </c>
      <c r="B38" s="11"/>
      <c r="C38" s="10"/>
      <c r="D38" s="11">
        <v>1</v>
      </c>
      <c r="E38" s="10">
        <v>0.02</v>
      </c>
      <c r="F38" s="11">
        <v>6</v>
      </c>
      <c r="G38" s="10">
        <v>0.1</v>
      </c>
      <c r="H38" s="11">
        <v>4</v>
      </c>
      <c r="I38" s="10">
        <v>0.06</v>
      </c>
      <c r="J38" s="11"/>
      <c r="K38" s="10"/>
      <c r="L38" s="11"/>
      <c r="M38" s="10"/>
      <c r="N38" s="12">
        <v>11</v>
      </c>
      <c r="O38" s="13">
        <v>0.18</v>
      </c>
    </row>
    <row r="39">
      <c r="A39" s="10" t="s">
        <v>16</v>
      </c>
      <c r="B39" s="11"/>
      <c r="C39" s="10"/>
      <c r="D39" s="11"/>
      <c r="E39" s="10"/>
      <c r="F39" s="11">
        <v>2</v>
      </c>
      <c r="G39" s="10">
        <v>0.03</v>
      </c>
      <c r="H39" s="11"/>
      <c r="I39" s="10"/>
      <c r="J39" s="11"/>
      <c r="K39" s="10"/>
      <c r="L39" s="11"/>
      <c r="M39" s="10"/>
      <c r="N39" s="12">
        <v>2</v>
      </c>
      <c r="O39" s="13">
        <v>0.03</v>
      </c>
    </row>
    <row r="40">
      <c r="A40" s="10" t="s">
        <v>17</v>
      </c>
      <c r="B40" s="11"/>
      <c r="C40" s="10"/>
      <c r="D40" s="11"/>
      <c r="E40" s="10"/>
      <c r="F40" s="11">
        <v>1</v>
      </c>
      <c r="G40" s="10">
        <v>0.02</v>
      </c>
      <c r="H40" s="11"/>
      <c r="I40" s="10"/>
      <c r="J40" s="11"/>
      <c r="K40" s="10"/>
      <c r="L40" s="11"/>
      <c r="M40" s="10"/>
      <c r="N40" s="12">
        <v>1</v>
      </c>
      <c r="O40" s="13">
        <v>0.02</v>
      </c>
    </row>
    <row r="41">
      <c r="A41" s="10" t="s">
        <v>18</v>
      </c>
      <c r="B41" s="11"/>
      <c r="C41" s="10"/>
      <c r="D41" s="11"/>
      <c r="E41" s="10"/>
      <c r="F41" s="11">
        <v>1</v>
      </c>
      <c r="G41" s="10">
        <v>0.02</v>
      </c>
      <c r="H41" s="11"/>
      <c r="I41" s="10"/>
      <c r="J41" s="11"/>
      <c r="K41" s="10"/>
      <c r="L41" s="11"/>
      <c r="M41" s="10"/>
      <c r="N41" s="12">
        <v>1</v>
      </c>
      <c r="O41" s="13">
        <v>0.02</v>
      </c>
    </row>
    <row r="42">
      <c r="A42" s="7" t="s">
        <v>24</v>
      </c>
      <c r="B42" s="12"/>
      <c r="C42" s="14"/>
      <c r="D42" s="12"/>
      <c r="E42" s="14"/>
      <c r="F42" s="8">
        <v>13</v>
      </c>
      <c r="G42" s="7">
        <v>0.21</v>
      </c>
      <c r="H42" s="8">
        <v>16</v>
      </c>
      <c r="I42" s="7">
        <v>0.26</v>
      </c>
      <c r="J42" s="8">
        <v>10</v>
      </c>
      <c r="K42" s="7">
        <v>0.16</v>
      </c>
      <c r="L42" s="8">
        <v>2</v>
      </c>
      <c r="M42" s="7">
        <v>0.04</v>
      </c>
      <c r="N42" s="8">
        <v>41</v>
      </c>
      <c r="O42" s="9">
        <v>0.67</v>
      </c>
    </row>
    <row r="43">
      <c r="A43" s="10" t="s">
        <v>13</v>
      </c>
      <c r="B43" s="11"/>
      <c r="C43" s="10"/>
      <c r="D43" s="11"/>
      <c r="E43" s="10"/>
      <c r="F43" s="11">
        <v>1</v>
      </c>
      <c r="G43" s="10">
        <v>0.02</v>
      </c>
      <c r="H43" s="11">
        <v>1</v>
      </c>
      <c r="I43" s="10">
        <v>0.02</v>
      </c>
      <c r="J43" s="11">
        <v>1</v>
      </c>
      <c r="K43" s="10">
        <v>0.02</v>
      </c>
      <c r="L43" s="11"/>
      <c r="M43" s="10"/>
      <c r="N43" s="12">
        <v>3</v>
      </c>
      <c r="O43" s="13">
        <v>0.06</v>
      </c>
    </row>
    <row r="44">
      <c r="A44" s="10" t="s">
        <v>14</v>
      </c>
      <c r="B44" s="11"/>
      <c r="C44" s="10"/>
      <c r="D44" s="11"/>
      <c r="E44" s="10"/>
      <c r="F44" s="11">
        <v>10</v>
      </c>
      <c r="G44" s="10">
        <v>0.16</v>
      </c>
      <c r="H44" s="11">
        <v>11</v>
      </c>
      <c r="I44" s="10">
        <v>0.17</v>
      </c>
      <c r="J44" s="11">
        <v>4</v>
      </c>
      <c r="K44" s="10">
        <v>0.06</v>
      </c>
      <c r="L44" s="11">
        <v>1</v>
      </c>
      <c r="M44" s="10">
        <v>0.02</v>
      </c>
      <c r="N44" s="12">
        <v>26</v>
      </c>
      <c r="O44" s="13">
        <v>0.41</v>
      </c>
    </row>
    <row r="45">
      <c r="A45" s="10" t="s">
        <v>15</v>
      </c>
      <c r="B45" s="11"/>
      <c r="C45" s="10"/>
      <c r="D45" s="11"/>
      <c r="E45" s="10"/>
      <c r="F45" s="11">
        <v>2</v>
      </c>
      <c r="G45" s="10">
        <v>0.03</v>
      </c>
      <c r="H45" s="11">
        <v>3</v>
      </c>
      <c r="I45" s="10">
        <v>0.05</v>
      </c>
      <c r="J45" s="11">
        <v>4</v>
      </c>
      <c r="K45" s="10">
        <v>0.06</v>
      </c>
      <c r="L45" s="11">
        <v>1</v>
      </c>
      <c r="M45" s="10">
        <v>0.02</v>
      </c>
      <c r="N45" s="12">
        <v>10</v>
      </c>
      <c r="O45" s="13">
        <v>0.16</v>
      </c>
    </row>
    <row r="46">
      <c r="A46" s="10" t="s">
        <v>16</v>
      </c>
      <c r="B46" s="11"/>
      <c r="C46" s="10"/>
      <c r="D46" s="11"/>
      <c r="E46" s="10"/>
      <c r="F46" s="11"/>
      <c r="G46" s="10"/>
      <c r="H46" s="11">
        <v>1</v>
      </c>
      <c r="I46" s="10">
        <v>0.02</v>
      </c>
      <c r="J46" s="11"/>
      <c r="K46" s="10"/>
      <c r="L46" s="11"/>
      <c r="M46" s="10"/>
      <c r="N46" s="12">
        <v>1</v>
      </c>
      <c r="O46" s="13">
        <v>0.02</v>
      </c>
    </row>
    <row r="47">
      <c r="A47" s="10" t="s">
        <v>17</v>
      </c>
      <c r="B47" s="11"/>
      <c r="C47" s="10"/>
      <c r="D47" s="11"/>
      <c r="E47" s="10"/>
      <c r="F47" s="11"/>
      <c r="G47" s="10"/>
      <c r="H47" s="11"/>
      <c r="I47" s="10"/>
      <c r="J47" s="11">
        <v>1</v>
      </c>
      <c r="K47" s="10">
        <v>0.02</v>
      </c>
      <c r="L47" s="11"/>
      <c r="M47" s="10"/>
      <c r="N47" s="12">
        <v>1</v>
      </c>
      <c r="O47" s="13">
        <v>0.02</v>
      </c>
    </row>
    <row r="48">
      <c r="A48" s="7" t="s">
        <v>25</v>
      </c>
      <c r="B48" s="12"/>
      <c r="C48" s="14"/>
      <c r="D48" s="8">
        <v>31</v>
      </c>
      <c r="E48" s="7">
        <v>0.49</v>
      </c>
      <c r="F48" s="8">
        <v>95</v>
      </c>
      <c r="G48" s="7">
        <v>1.51</v>
      </c>
      <c r="H48" s="8">
        <v>110</v>
      </c>
      <c r="I48" s="7">
        <v>1.75</v>
      </c>
      <c r="J48" s="8">
        <v>26</v>
      </c>
      <c r="K48" s="7">
        <v>0.41</v>
      </c>
      <c r="L48" s="12"/>
      <c r="M48" s="14"/>
      <c r="N48" s="8">
        <v>262</v>
      </c>
      <c r="O48" s="9">
        <v>4.16</v>
      </c>
    </row>
    <row r="49">
      <c r="A49" s="10" t="s">
        <v>13</v>
      </c>
      <c r="B49" s="11"/>
      <c r="C49" s="10"/>
      <c r="D49" s="11">
        <v>5</v>
      </c>
      <c r="E49" s="10">
        <v>0.08</v>
      </c>
      <c r="F49" s="11">
        <v>11</v>
      </c>
      <c r="G49" s="10">
        <v>0.17</v>
      </c>
      <c r="H49" s="11">
        <v>16</v>
      </c>
      <c r="I49" s="10">
        <v>0.25</v>
      </c>
      <c r="J49" s="11">
        <v>4</v>
      </c>
      <c r="K49" s="10">
        <v>0.06</v>
      </c>
      <c r="L49" s="11"/>
      <c r="M49" s="10"/>
      <c r="N49" s="12">
        <v>36</v>
      </c>
      <c r="O49" s="13">
        <v>0.56</v>
      </c>
    </row>
    <row r="50">
      <c r="A50" s="10" t="s">
        <v>14</v>
      </c>
      <c r="B50" s="11"/>
      <c r="C50" s="10"/>
      <c r="D50" s="11">
        <v>8</v>
      </c>
      <c r="E50" s="10">
        <v>0.13</v>
      </c>
      <c r="F50" s="11">
        <v>36</v>
      </c>
      <c r="G50" s="10">
        <v>0.57</v>
      </c>
      <c r="H50" s="11">
        <v>53</v>
      </c>
      <c r="I50" s="10">
        <v>0.84</v>
      </c>
      <c r="J50" s="11">
        <v>12</v>
      </c>
      <c r="K50" s="10">
        <v>0.19</v>
      </c>
      <c r="L50" s="11"/>
      <c r="M50" s="10"/>
      <c r="N50" s="12">
        <v>109</v>
      </c>
      <c r="O50" s="13">
        <v>1.73</v>
      </c>
    </row>
    <row r="51">
      <c r="A51" s="10" t="s">
        <v>15</v>
      </c>
      <c r="B51" s="11"/>
      <c r="C51" s="10"/>
      <c r="D51" s="11">
        <v>11</v>
      </c>
      <c r="E51" s="10">
        <v>0.17</v>
      </c>
      <c r="F51" s="11">
        <v>41</v>
      </c>
      <c r="G51" s="10">
        <v>0.65</v>
      </c>
      <c r="H51" s="11">
        <v>35</v>
      </c>
      <c r="I51" s="10">
        <v>0.56</v>
      </c>
      <c r="J51" s="11">
        <v>10</v>
      </c>
      <c r="K51" s="10">
        <v>0.16</v>
      </c>
      <c r="L51" s="11"/>
      <c r="M51" s="10"/>
      <c r="N51" s="12">
        <v>97</v>
      </c>
      <c r="O51" s="13">
        <v>1.54</v>
      </c>
    </row>
    <row r="52">
      <c r="A52" s="10" t="s">
        <v>16</v>
      </c>
      <c r="B52" s="11"/>
      <c r="C52" s="10"/>
      <c r="D52" s="11">
        <v>7</v>
      </c>
      <c r="E52" s="10">
        <v>0.11</v>
      </c>
      <c r="F52" s="11">
        <v>6</v>
      </c>
      <c r="G52" s="10">
        <v>0.1</v>
      </c>
      <c r="H52" s="11">
        <v>6</v>
      </c>
      <c r="I52" s="10">
        <v>0.1</v>
      </c>
      <c r="J52" s="11"/>
      <c r="K52" s="10"/>
      <c r="L52" s="11"/>
      <c r="M52" s="10"/>
      <c r="N52" s="12">
        <v>19</v>
      </c>
      <c r="O52" s="13">
        <v>0.31</v>
      </c>
    </row>
    <row r="53">
      <c r="A53" s="10" t="s">
        <v>17</v>
      </c>
      <c r="B53" s="11"/>
      <c r="C53" s="10"/>
      <c r="D53" s="11"/>
      <c r="E53" s="10"/>
      <c r="F53" s="11">
        <v>1</v>
      </c>
      <c r="G53" s="10">
        <v>0.02</v>
      </c>
      <c r="H53" s="11"/>
      <c r="I53" s="10"/>
      <c r="J53" s="11"/>
      <c r="K53" s="10"/>
      <c r="L53" s="11"/>
      <c r="M53" s="10"/>
      <c r="N53" s="12">
        <v>1</v>
      </c>
      <c r="O53" s="13">
        <v>0.02</v>
      </c>
    </row>
    <row r="54">
      <c r="A54" s="7" t="s">
        <v>26</v>
      </c>
      <c r="B54" s="12"/>
      <c r="C54" s="14"/>
      <c r="D54" s="8">
        <v>1</v>
      </c>
      <c r="E54" s="7">
        <v>0.02</v>
      </c>
      <c r="F54" s="8">
        <v>4</v>
      </c>
      <c r="G54" s="7">
        <v>0.07</v>
      </c>
      <c r="H54" s="8">
        <v>17</v>
      </c>
      <c r="I54" s="7">
        <v>0.27</v>
      </c>
      <c r="J54" s="8">
        <v>6</v>
      </c>
      <c r="K54" s="7">
        <v>0.1</v>
      </c>
      <c r="L54" s="12"/>
      <c r="M54" s="14"/>
      <c r="N54" s="8">
        <v>28</v>
      </c>
      <c r="O54" s="9">
        <v>0.46</v>
      </c>
    </row>
    <row r="55">
      <c r="A55" s="10" t="s">
        <v>13</v>
      </c>
      <c r="B55" s="11"/>
      <c r="C55" s="10"/>
      <c r="D55" s="11"/>
      <c r="E55" s="10"/>
      <c r="F55" s="11"/>
      <c r="G55" s="10"/>
      <c r="H55" s="11">
        <v>3</v>
      </c>
      <c r="I55" s="10">
        <v>0.05</v>
      </c>
      <c r="J55" s="11"/>
      <c r="K55" s="10"/>
      <c r="L55" s="11"/>
      <c r="M55" s="10"/>
      <c r="N55" s="12">
        <v>3</v>
      </c>
      <c r="O55" s="13">
        <v>0.05</v>
      </c>
    </row>
    <row r="56">
      <c r="A56" s="10" t="s">
        <v>14</v>
      </c>
      <c r="B56" s="11"/>
      <c r="C56" s="10"/>
      <c r="D56" s="11"/>
      <c r="E56" s="10"/>
      <c r="F56" s="11">
        <v>1</v>
      </c>
      <c r="G56" s="10">
        <v>0.02</v>
      </c>
      <c r="H56" s="11">
        <v>7</v>
      </c>
      <c r="I56" s="10">
        <v>0.11</v>
      </c>
      <c r="J56" s="11">
        <v>1</v>
      </c>
      <c r="K56" s="10">
        <v>0.02</v>
      </c>
      <c r="L56" s="11"/>
      <c r="M56" s="10"/>
      <c r="N56" s="12">
        <v>9</v>
      </c>
      <c r="O56" s="13">
        <v>0.15</v>
      </c>
    </row>
    <row r="57">
      <c r="A57" s="10" t="s">
        <v>15</v>
      </c>
      <c r="B57" s="11"/>
      <c r="C57" s="10"/>
      <c r="D57" s="11"/>
      <c r="E57" s="10"/>
      <c r="F57" s="11">
        <v>3</v>
      </c>
      <c r="G57" s="10">
        <v>0.05</v>
      </c>
      <c r="H57" s="11">
        <v>4</v>
      </c>
      <c r="I57" s="10">
        <v>0.06</v>
      </c>
      <c r="J57" s="11">
        <v>3</v>
      </c>
      <c r="K57" s="10">
        <v>0.05</v>
      </c>
      <c r="L57" s="11"/>
      <c r="M57" s="10"/>
      <c r="N57" s="12">
        <v>10</v>
      </c>
      <c r="O57" s="13">
        <v>0.16</v>
      </c>
    </row>
    <row r="58">
      <c r="A58" s="10" t="s">
        <v>16</v>
      </c>
      <c r="B58" s="11"/>
      <c r="C58" s="10"/>
      <c r="D58" s="11">
        <v>1</v>
      </c>
      <c r="E58" s="10">
        <v>0.02</v>
      </c>
      <c r="F58" s="11"/>
      <c r="G58" s="10"/>
      <c r="H58" s="11">
        <v>2</v>
      </c>
      <c r="I58" s="10">
        <v>0.03</v>
      </c>
      <c r="J58" s="11">
        <v>2</v>
      </c>
      <c r="K58" s="10">
        <v>0.03</v>
      </c>
      <c r="L58" s="11"/>
      <c r="M58" s="10"/>
      <c r="N58" s="12">
        <v>5</v>
      </c>
      <c r="O58" s="13">
        <v>0.08</v>
      </c>
    </row>
    <row r="59">
      <c r="A59" s="10" t="s">
        <v>17</v>
      </c>
      <c r="B59" s="11"/>
      <c r="C59" s="10"/>
      <c r="D59" s="11"/>
      <c r="E59" s="10"/>
      <c r="F59" s="11"/>
      <c r="G59" s="10"/>
      <c r="H59" s="11">
        <v>1</v>
      </c>
      <c r="I59" s="10">
        <v>0.02</v>
      </c>
      <c r="J59" s="11"/>
      <c r="K59" s="10"/>
      <c r="L59" s="11"/>
      <c r="M59" s="10"/>
      <c r="N59" s="12">
        <v>1</v>
      </c>
      <c r="O59" s="13">
        <v>0.02</v>
      </c>
    </row>
    <row r="60">
      <c r="A60" s="7" t="s">
        <v>27</v>
      </c>
      <c r="B60" s="12"/>
      <c r="C60" s="14"/>
      <c r="D60" s="8">
        <v>1</v>
      </c>
      <c r="E60" s="7">
        <v>0.02</v>
      </c>
      <c r="F60" s="8">
        <v>15</v>
      </c>
      <c r="G60" s="7">
        <v>0.25</v>
      </c>
      <c r="H60" s="8">
        <v>12</v>
      </c>
      <c r="I60" s="7">
        <v>0.2</v>
      </c>
      <c r="J60" s="8">
        <v>5</v>
      </c>
      <c r="K60" s="7">
        <v>0.08</v>
      </c>
      <c r="L60" s="12"/>
      <c r="M60" s="14"/>
      <c r="N60" s="8">
        <v>33</v>
      </c>
      <c r="O60" s="9">
        <v>0.55</v>
      </c>
    </row>
    <row r="61">
      <c r="A61" s="10" t="s">
        <v>13</v>
      </c>
      <c r="B61" s="11"/>
      <c r="C61" s="10"/>
      <c r="D61" s="11"/>
      <c r="E61" s="10"/>
      <c r="F61" s="11">
        <v>3</v>
      </c>
      <c r="G61" s="10">
        <v>0.05</v>
      </c>
      <c r="H61" s="11">
        <v>3</v>
      </c>
      <c r="I61" s="10">
        <v>0.05</v>
      </c>
      <c r="J61" s="11"/>
      <c r="K61" s="10"/>
      <c r="L61" s="11"/>
      <c r="M61" s="10"/>
      <c r="N61" s="12">
        <v>6</v>
      </c>
      <c r="O61" s="13">
        <v>0.1</v>
      </c>
    </row>
    <row r="62">
      <c r="A62" s="10" t="s">
        <v>14</v>
      </c>
      <c r="B62" s="11"/>
      <c r="C62" s="10"/>
      <c r="D62" s="11"/>
      <c r="E62" s="10"/>
      <c r="F62" s="11">
        <v>6</v>
      </c>
      <c r="G62" s="10">
        <v>0.1</v>
      </c>
      <c r="H62" s="11">
        <v>2</v>
      </c>
      <c r="I62" s="10">
        <v>0.03</v>
      </c>
      <c r="J62" s="11">
        <v>3</v>
      </c>
      <c r="K62" s="10">
        <v>0.05</v>
      </c>
      <c r="L62" s="11"/>
      <c r="M62" s="10"/>
      <c r="N62" s="12">
        <v>11</v>
      </c>
      <c r="O62" s="13">
        <v>0.18</v>
      </c>
    </row>
    <row r="63">
      <c r="A63" s="10" t="s">
        <v>15</v>
      </c>
      <c r="B63" s="11"/>
      <c r="C63" s="10"/>
      <c r="D63" s="11">
        <v>1</v>
      </c>
      <c r="E63" s="10">
        <v>0.02</v>
      </c>
      <c r="F63" s="11">
        <v>3</v>
      </c>
      <c r="G63" s="10">
        <v>0.05</v>
      </c>
      <c r="H63" s="11">
        <v>1</v>
      </c>
      <c r="I63" s="10">
        <v>0.02</v>
      </c>
      <c r="J63" s="11">
        <v>2</v>
      </c>
      <c r="K63" s="10">
        <v>0.03</v>
      </c>
      <c r="L63" s="11"/>
      <c r="M63" s="10"/>
      <c r="N63" s="12">
        <v>7</v>
      </c>
      <c r="O63" s="13">
        <v>0.12</v>
      </c>
    </row>
    <row r="64">
      <c r="A64" s="10" t="s">
        <v>16</v>
      </c>
      <c r="B64" s="11"/>
      <c r="C64" s="10"/>
      <c r="D64" s="11"/>
      <c r="E64" s="10"/>
      <c r="F64" s="11">
        <v>2</v>
      </c>
      <c r="G64" s="10">
        <v>0.03</v>
      </c>
      <c r="H64" s="11">
        <v>5</v>
      </c>
      <c r="I64" s="10">
        <v>0.08</v>
      </c>
      <c r="J64" s="11"/>
      <c r="K64" s="10"/>
      <c r="L64" s="11"/>
      <c r="M64" s="10"/>
      <c r="N64" s="12">
        <v>7</v>
      </c>
      <c r="O64" s="13">
        <v>0.11</v>
      </c>
    </row>
    <row r="65">
      <c r="A65" s="10" t="s">
        <v>17</v>
      </c>
      <c r="B65" s="11"/>
      <c r="C65" s="10"/>
      <c r="D65" s="11"/>
      <c r="E65" s="10"/>
      <c r="F65" s="11">
        <v>1</v>
      </c>
      <c r="G65" s="10">
        <v>0.02</v>
      </c>
      <c r="H65" s="11">
        <v>1</v>
      </c>
      <c r="I65" s="10">
        <v>0.02</v>
      </c>
      <c r="J65" s="11"/>
      <c r="K65" s="10"/>
      <c r="L65" s="11"/>
      <c r="M65" s="10"/>
      <c r="N65" s="12">
        <v>2</v>
      </c>
      <c r="O65" s="13">
        <v>0.04</v>
      </c>
    </row>
    <row r="66">
      <c r="A66" s="7" t="s">
        <v>28</v>
      </c>
      <c r="B66" s="12"/>
      <c r="C66" s="14"/>
      <c r="D66" s="12"/>
      <c r="E66" s="14"/>
      <c r="F66" s="12"/>
      <c r="G66" s="14"/>
      <c r="H66" s="8">
        <v>3</v>
      </c>
      <c r="I66" s="7">
        <v>0.06</v>
      </c>
      <c r="J66" s="12"/>
      <c r="K66" s="14"/>
      <c r="L66" s="8">
        <v>1</v>
      </c>
      <c r="M66" s="7">
        <v>0.02</v>
      </c>
      <c r="N66" s="8">
        <v>4</v>
      </c>
      <c r="O66" s="9">
        <v>0.08</v>
      </c>
    </row>
    <row r="67">
      <c r="A67" s="10" t="s">
        <v>14</v>
      </c>
      <c r="B67" s="11"/>
      <c r="C67" s="10"/>
      <c r="D67" s="11"/>
      <c r="E67" s="10"/>
      <c r="F67" s="11"/>
      <c r="G67" s="10"/>
      <c r="H67" s="11">
        <v>1</v>
      </c>
      <c r="I67" s="10">
        <v>0.02</v>
      </c>
      <c r="J67" s="11"/>
      <c r="K67" s="10"/>
      <c r="L67" s="11">
        <v>1</v>
      </c>
      <c r="M67" s="10">
        <v>0.02</v>
      </c>
      <c r="N67" s="12">
        <v>2</v>
      </c>
      <c r="O67" s="13">
        <v>0.04</v>
      </c>
    </row>
    <row r="68">
      <c r="A68" s="10" t="s">
        <v>15</v>
      </c>
      <c r="B68" s="11"/>
      <c r="C68" s="10"/>
      <c r="D68" s="11"/>
      <c r="E68" s="10"/>
      <c r="F68" s="11"/>
      <c r="G68" s="10"/>
      <c r="H68" s="11">
        <v>1</v>
      </c>
      <c r="I68" s="10">
        <v>0.02</v>
      </c>
      <c r="J68" s="11"/>
      <c r="K68" s="10"/>
      <c r="L68" s="11"/>
      <c r="M68" s="10"/>
      <c r="N68" s="12">
        <v>1</v>
      </c>
      <c r="O68" s="13">
        <v>0.02</v>
      </c>
    </row>
    <row r="69">
      <c r="A69" s="10" t="s">
        <v>16</v>
      </c>
      <c r="B69" s="11"/>
      <c r="C69" s="10"/>
      <c r="D69" s="11"/>
      <c r="E69" s="10"/>
      <c r="F69" s="11"/>
      <c r="G69" s="10"/>
      <c r="H69" s="11">
        <v>1</v>
      </c>
      <c r="I69" s="10">
        <v>0.02</v>
      </c>
      <c r="J69" s="11"/>
      <c r="K69" s="10"/>
      <c r="L69" s="11"/>
      <c r="M69" s="10"/>
      <c r="N69" s="12">
        <v>1</v>
      </c>
      <c r="O69" s="13">
        <v>0.02</v>
      </c>
    </row>
    <row r="70">
      <c r="A70" s="7" t="s">
        <v>29</v>
      </c>
      <c r="B70" s="12"/>
      <c r="C70" s="14"/>
      <c r="D70" s="8">
        <v>1</v>
      </c>
      <c r="E70" s="7">
        <v>0.02</v>
      </c>
      <c r="F70" s="8">
        <v>17</v>
      </c>
      <c r="G70" s="7">
        <v>0.26</v>
      </c>
      <c r="H70" s="8">
        <v>18</v>
      </c>
      <c r="I70" s="7">
        <v>0.29</v>
      </c>
      <c r="J70" s="8">
        <v>17</v>
      </c>
      <c r="K70" s="7">
        <v>0.28</v>
      </c>
      <c r="L70" s="8">
        <v>1</v>
      </c>
      <c r="M70" s="7">
        <v>0.02</v>
      </c>
      <c r="N70" s="8">
        <v>54</v>
      </c>
      <c r="O70" s="9">
        <v>0.87</v>
      </c>
    </row>
    <row r="71">
      <c r="A71" s="10" t="s">
        <v>13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>
        <v>1</v>
      </c>
      <c r="K71" s="10">
        <v>0.02</v>
      </c>
      <c r="L71" s="11">
        <v>1</v>
      </c>
      <c r="M71" s="10">
        <v>0.02</v>
      </c>
      <c r="N71" s="12">
        <v>3</v>
      </c>
      <c r="O71" s="13">
        <v>0.06</v>
      </c>
    </row>
    <row r="72">
      <c r="A72" s="10" t="s">
        <v>14</v>
      </c>
      <c r="B72" s="11"/>
      <c r="C72" s="10"/>
      <c r="D72" s="11"/>
      <c r="E72" s="10"/>
      <c r="F72" s="11">
        <v>4</v>
      </c>
      <c r="G72" s="10">
        <v>0.06</v>
      </c>
      <c r="H72" s="11">
        <v>3</v>
      </c>
      <c r="I72" s="10">
        <v>0.05</v>
      </c>
      <c r="J72" s="11">
        <v>8</v>
      </c>
      <c r="K72" s="10">
        <v>0.13</v>
      </c>
      <c r="L72" s="11"/>
      <c r="M72" s="10"/>
      <c r="N72" s="12">
        <v>15</v>
      </c>
      <c r="O72" s="13">
        <v>0.24</v>
      </c>
    </row>
    <row r="73">
      <c r="A73" s="10" t="s">
        <v>15</v>
      </c>
      <c r="B73" s="11"/>
      <c r="C73" s="10"/>
      <c r="D73" s="11">
        <v>1</v>
      </c>
      <c r="E73" s="10">
        <v>0.02</v>
      </c>
      <c r="F73" s="11">
        <v>9</v>
      </c>
      <c r="G73" s="10">
        <v>0.14</v>
      </c>
      <c r="H73" s="11">
        <v>11</v>
      </c>
      <c r="I73" s="10">
        <v>0.17</v>
      </c>
      <c r="J73" s="11">
        <v>2</v>
      </c>
      <c r="K73" s="10">
        <v>0.03</v>
      </c>
      <c r="L73" s="11"/>
      <c r="M73" s="10"/>
      <c r="N73" s="12">
        <v>23</v>
      </c>
      <c r="O73" s="13">
        <v>0.36</v>
      </c>
    </row>
    <row r="74">
      <c r="A74" s="10" t="s">
        <v>16</v>
      </c>
      <c r="B74" s="11"/>
      <c r="C74" s="10"/>
      <c r="D74" s="11"/>
      <c r="E74" s="10"/>
      <c r="F74" s="11">
        <v>4</v>
      </c>
      <c r="G74" s="10">
        <v>0.06</v>
      </c>
      <c r="H74" s="11">
        <v>2</v>
      </c>
      <c r="I74" s="10">
        <v>0.03</v>
      </c>
      <c r="J74" s="11">
        <v>6</v>
      </c>
      <c r="K74" s="10">
        <v>0.1</v>
      </c>
      <c r="L74" s="11"/>
      <c r="M74" s="10"/>
      <c r="N74" s="12">
        <v>12</v>
      </c>
      <c r="O74" s="13">
        <v>0.19</v>
      </c>
    </row>
    <row r="75">
      <c r="A75" s="10" t="s">
        <v>17</v>
      </c>
      <c r="B75" s="11"/>
      <c r="C75" s="10"/>
      <c r="D75" s="11"/>
      <c r="E75" s="10"/>
      <c r="F75" s="11"/>
      <c r="G75" s="10"/>
      <c r="H75" s="11">
        <v>1</v>
      </c>
      <c r="I75" s="10">
        <v>0.02</v>
      </c>
      <c r="J75" s="11"/>
      <c r="K75" s="10"/>
      <c r="L75" s="11"/>
      <c r="M75" s="10"/>
      <c r="N75" s="12">
        <v>1</v>
      </c>
      <c r="O75" s="13">
        <v>0.02</v>
      </c>
    </row>
    <row r="76">
      <c r="A76" s="7" t="s">
        <v>30</v>
      </c>
      <c r="B76" s="12"/>
      <c r="C76" s="14"/>
      <c r="D76" s="12"/>
      <c r="E76" s="14"/>
      <c r="F76" s="8">
        <v>2</v>
      </c>
      <c r="G76" s="7">
        <v>0.03</v>
      </c>
      <c r="H76" s="8">
        <v>4</v>
      </c>
      <c r="I76" s="7">
        <v>0.07</v>
      </c>
      <c r="J76" s="12"/>
      <c r="K76" s="14"/>
      <c r="L76" s="12"/>
      <c r="M76" s="14"/>
      <c r="N76" s="8">
        <v>6</v>
      </c>
      <c r="O76" s="9">
        <v>0.1</v>
      </c>
    </row>
    <row r="77">
      <c r="A77" s="10" t="s">
        <v>15</v>
      </c>
      <c r="B77" s="11"/>
      <c r="C77" s="10"/>
      <c r="D77" s="11"/>
      <c r="E77" s="10"/>
      <c r="F77" s="11"/>
      <c r="G77" s="10"/>
      <c r="H77" s="11">
        <v>3</v>
      </c>
      <c r="I77" s="10">
        <v>0.05</v>
      </c>
      <c r="J77" s="11"/>
      <c r="K77" s="10"/>
      <c r="L77" s="11"/>
      <c r="M77" s="10"/>
      <c r="N77" s="12">
        <v>3</v>
      </c>
      <c r="O77" s="13">
        <v>0.05</v>
      </c>
    </row>
    <row r="78">
      <c r="A78" s="10" t="s">
        <v>16</v>
      </c>
      <c r="B78" s="11"/>
      <c r="C78" s="10"/>
      <c r="D78" s="11"/>
      <c r="E78" s="10"/>
      <c r="F78" s="11">
        <v>2</v>
      </c>
      <c r="G78" s="10">
        <v>0.03</v>
      </c>
      <c r="H78" s="11">
        <v>1</v>
      </c>
      <c r="I78" s="10">
        <v>0.02</v>
      </c>
      <c r="J78" s="11"/>
      <c r="K78" s="10"/>
      <c r="L78" s="11"/>
      <c r="M78" s="10"/>
      <c r="N78" s="12">
        <v>3</v>
      </c>
      <c r="O78" s="13">
        <v>0.05</v>
      </c>
    </row>
    <row r="79">
      <c r="A79" s="7" t="s">
        <v>31</v>
      </c>
      <c r="B79" s="12"/>
      <c r="C79" s="14"/>
      <c r="D79" s="8">
        <v>1</v>
      </c>
      <c r="E79" s="7">
        <v>0.02</v>
      </c>
      <c r="F79" s="8">
        <v>4</v>
      </c>
      <c r="G79" s="7">
        <v>0.07</v>
      </c>
      <c r="H79" s="8">
        <v>7</v>
      </c>
      <c r="I79" s="7">
        <v>0.12</v>
      </c>
      <c r="J79" s="8">
        <v>3</v>
      </c>
      <c r="K79" s="7">
        <v>0.06</v>
      </c>
      <c r="L79" s="8">
        <v>2</v>
      </c>
      <c r="M79" s="7">
        <v>0.03</v>
      </c>
      <c r="N79" s="8">
        <v>17</v>
      </c>
      <c r="O79" s="9">
        <v>0.3</v>
      </c>
    </row>
    <row r="80">
      <c r="A80" s="10" t="s">
        <v>13</v>
      </c>
      <c r="B80" s="11"/>
      <c r="C80" s="10"/>
      <c r="D80" s="11"/>
      <c r="E80" s="10"/>
      <c r="F80" s="11">
        <v>1</v>
      </c>
      <c r="G80" s="10">
        <v>0.02</v>
      </c>
      <c r="H80" s="11">
        <v>1</v>
      </c>
      <c r="I80" s="10">
        <v>0.02</v>
      </c>
      <c r="J80" s="11"/>
      <c r="K80" s="10"/>
      <c r="L80" s="11"/>
      <c r="M80" s="10"/>
      <c r="N80" s="12">
        <v>2</v>
      </c>
      <c r="O80" s="13">
        <v>0.04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4</v>
      </c>
      <c r="I81" s="10">
        <v>0.06</v>
      </c>
      <c r="J81" s="11">
        <v>1</v>
      </c>
      <c r="K81" s="10">
        <v>0.02</v>
      </c>
      <c r="L81" s="11"/>
      <c r="M81" s="10"/>
      <c r="N81" s="12">
        <v>6</v>
      </c>
      <c r="O81" s="13">
        <v>0.1</v>
      </c>
    </row>
    <row r="82">
      <c r="A82" s="10" t="s">
        <v>15</v>
      </c>
      <c r="B82" s="11"/>
      <c r="C82" s="10"/>
      <c r="D82" s="11">
        <v>1</v>
      </c>
      <c r="E82" s="10">
        <v>0.02</v>
      </c>
      <c r="F82" s="11">
        <v>2</v>
      </c>
      <c r="G82" s="10">
        <v>0.03</v>
      </c>
      <c r="H82" s="11">
        <v>1</v>
      </c>
      <c r="I82" s="10">
        <v>0.02</v>
      </c>
      <c r="J82" s="11">
        <v>1</v>
      </c>
      <c r="K82" s="10">
        <v>0.02</v>
      </c>
      <c r="L82" s="11">
        <v>2</v>
      </c>
      <c r="M82" s="10">
        <v>0.03</v>
      </c>
      <c r="N82" s="12">
        <v>7</v>
      </c>
      <c r="O82" s="13">
        <v>0.12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>
        <v>1</v>
      </c>
      <c r="K83" s="10">
        <v>0.02</v>
      </c>
      <c r="L83" s="11"/>
      <c r="M83" s="10"/>
      <c r="N83" s="12">
        <v>2</v>
      </c>
      <c r="O83" s="13">
        <v>0.04</v>
      </c>
    </row>
    <row r="84">
      <c r="A84" s="7" t="s">
        <v>32</v>
      </c>
      <c r="B84" s="12"/>
      <c r="C84" s="14"/>
      <c r="D84" s="12"/>
      <c r="E84" s="14"/>
      <c r="F84" s="8">
        <v>3</v>
      </c>
      <c r="G84" s="7">
        <v>0.05</v>
      </c>
      <c r="H84" s="8">
        <v>3</v>
      </c>
      <c r="I84" s="7">
        <v>0.06</v>
      </c>
      <c r="J84" s="8">
        <v>3</v>
      </c>
      <c r="K84" s="7">
        <v>0.05</v>
      </c>
      <c r="L84" s="8">
        <v>3</v>
      </c>
      <c r="M84" s="7">
        <v>0.05</v>
      </c>
      <c r="N84" s="8">
        <v>12</v>
      </c>
      <c r="O84" s="9">
        <v>0.21</v>
      </c>
    </row>
    <row r="85">
      <c r="A85" s="10" t="s">
        <v>13</v>
      </c>
      <c r="B85" s="11"/>
      <c r="C85" s="10"/>
      <c r="D85" s="11"/>
      <c r="E85" s="10"/>
      <c r="F85" s="11"/>
      <c r="G85" s="10"/>
      <c r="H85" s="11"/>
      <c r="I85" s="10"/>
      <c r="J85" s="11"/>
      <c r="K85" s="10"/>
      <c r="L85" s="11">
        <v>2</v>
      </c>
      <c r="M85" s="10">
        <v>0.03</v>
      </c>
      <c r="N85" s="12">
        <v>2</v>
      </c>
      <c r="O85" s="13">
        <v>0.03</v>
      </c>
    </row>
    <row r="86">
      <c r="A86" s="10" t="s">
        <v>14</v>
      </c>
      <c r="B86" s="11"/>
      <c r="C86" s="10"/>
      <c r="D86" s="11"/>
      <c r="E86" s="10"/>
      <c r="F86" s="11">
        <v>1</v>
      </c>
      <c r="G86" s="10">
        <v>0.02</v>
      </c>
      <c r="H86" s="11">
        <v>1</v>
      </c>
      <c r="I86" s="10">
        <v>0.02</v>
      </c>
      <c r="J86" s="11">
        <v>1</v>
      </c>
      <c r="K86" s="10">
        <v>0.02</v>
      </c>
      <c r="L86" s="11">
        <v>1</v>
      </c>
      <c r="M86" s="10">
        <v>0.02</v>
      </c>
      <c r="N86" s="12">
        <v>4</v>
      </c>
      <c r="O86" s="13">
        <v>0.08</v>
      </c>
    </row>
    <row r="87">
      <c r="A87" s="10" t="s">
        <v>15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16</v>
      </c>
      <c r="B88" s="11"/>
      <c r="C88" s="10"/>
      <c r="D88" s="11"/>
      <c r="E88" s="10"/>
      <c r="F88" s="11"/>
      <c r="G88" s="10"/>
      <c r="H88" s="11">
        <v>1</v>
      </c>
      <c r="I88" s="10">
        <v>0.02</v>
      </c>
      <c r="J88" s="11"/>
      <c r="K88" s="10"/>
      <c r="L88" s="11"/>
      <c r="M88" s="10"/>
      <c r="N88" s="12">
        <v>1</v>
      </c>
      <c r="O88" s="13">
        <v>0.02</v>
      </c>
    </row>
    <row r="89">
      <c r="A89" s="7" t="s">
        <v>33</v>
      </c>
      <c r="B89" s="12"/>
      <c r="C89" s="14"/>
      <c r="D89" s="12"/>
      <c r="E89" s="14"/>
      <c r="F89" s="8">
        <v>2</v>
      </c>
      <c r="G89" s="7">
        <v>0.04</v>
      </c>
      <c r="H89" s="12"/>
      <c r="I89" s="14"/>
      <c r="J89" s="8">
        <v>1</v>
      </c>
      <c r="K89" s="7">
        <v>0.02</v>
      </c>
      <c r="L89" s="12"/>
      <c r="M89" s="14"/>
      <c r="N89" s="8">
        <v>3</v>
      </c>
      <c r="O89" s="9">
        <v>0.06</v>
      </c>
    </row>
    <row r="90">
      <c r="A90" s="10" t="s">
        <v>15</v>
      </c>
      <c r="B90" s="11"/>
      <c r="C90" s="10"/>
      <c r="D90" s="11"/>
      <c r="E90" s="10"/>
      <c r="F90" s="11">
        <v>1</v>
      </c>
      <c r="G90" s="10">
        <v>0.02</v>
      </c>
      <c r="H90" s="11"/>
      <c r="I90" s="10"/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>
        <v>1</v>
      </c>
      <c r="G91" s="10">
        <v>0.02</v>
      </c>
      <c r="H91" s="11"/>
      <c r="I91" s="10"/>
      <c r="J91" s="11">
        <v>1</v>
      </c>
      <c r="K91" s="10">
        <v>0.02</v>
      </c>
      <c r="L91" s="11"/>
      <c r="M91" s="10"/>
      <c r="N91" s="12">
        <v>2</v>
      </c>
      <c r="O91" s="13">
        <v>0.04</v>
      </c>
    </row>
    <row r="92">
      <c r="A92" s="7" t="s">
        <v>34</v>
      </c>
      <c r="B92" s="12"/>
      <c r="C92" s="14"/>
      <c r="D92" s="12"/>
      <c r="E92" s="14"/>
      <c r="F92" s="8">
        <v>1</v>
      </c>
      <c r="G92" s="7">
        <v>0.02</v>
      </c>
      <c r="H92" s="12"/>
      <c r="I92" s="14"/>
      <c r="J92" s="8">
        <v>4</v>
      </c>
      <c r="K92" s="7">
        <v>0.07</v>
      </c>
      <c r="L92" s="12"/>
      <c r="M92" s="14"/>
      <c r="N92" s="8">
        <v>5</v>
      </c>
      <c r="O92" s="9">
        <v>0.09</v>
      </c>
    </row>
    <row r="93">
      <c r="A93" s="10" t="s">
        <v>14</v>
      </c>
      <c r="B93" s="11"/>
      <c r="C93" s="10"/>
      <c r="D93" s="11"/>
      <c r="E93" s="10"/>
      <c r="F93" s="11"/>
      <c r="G93" s="10"/>
      <c r="H93" s="11"/>
      <c r="I93" s="10"/>
      <c r="J93" s="11">
        <v>1</v>
      </c>
      <c r="K93" s="10">
        <v>0.02</v>
      </c>
      <c r="L93" s="11"/>
      <c r="M93" s="10"/>
      <c r="N93" s="12">
        <v>1</v>
      </c>
      <c r="O93" s="13">
        <v>0.02</v>
      </c>
    </row>
    <row r="94">
      <c r="A94" s="10" t="s">
        <v>16</v>
      </c>
      <c r="B94" s="11"/>
      <c r="C94" s="10"/>
      <c r="D94" s="11"/>
      <c r="E94" s="10"/>
      <c r="F94" s="11">
        <v>1</v>
      </c>
      <c r="G94" s="10">
        <v>0.02</v>
      </c>
      <c r="H94" s="11"/>
      <c r="I94" s="10"/>
      <c r="J94" s="11">
        <v>3</v>
      </c>
      <c r="K94" s="10">
        <v>0.05</v>
      </c>
      <c r="L94" s="11"/>
      <c r="M94" s="10"/>
      <c r="N94" s="12">
        <v>4</v>
      </c>
      <c r="O94" s="13">
        <v>0.07</v>
      </c>
    </row>
    <row r="95">
      <c r="A95" s="7" t="s">
        <v>35</v>
      </c>
      <c r="B95" s="12"/>
      <c r="C95" s="14"/>
      <c r="D95" s="12"/>
      <c r="E95" s="14"/>
      <c r="F95" s="8">
        <v>7</v>
      </c>
      <c r="G95" s="7">
        <v>0.11</v>
      </c>
      <c r="H95" s="8">
        <v>31</v>
      </c>
      <c r="I95" s="7">
        <v>0.49</v>
      </c>
      <c r="J95" s="8">
        <v>6</v>
      </c>
      <c r="K95" s="7">
        <v>0.1</v>
      </c>
      <c r="L95" s="8">
        <v>1</v>
      </c>
      <c r="M95" s="7">
        <v>0.02</v>
      </c>
      <c r="N95" s="8">
        <v>45</v>
      </c>
      <c r="O95" s="9">
        <v>0.72</v>
      </c>
    </row>
    <row r="96">
      <c r="A96" s="10" t="s">
        <v>14</v>
      </c>
      <c r="B96" s="11"/>
      <c r="C96" s="10"/>
      <c r="D96" s="11"/>
      <c r="E96" s="10"/>
      <c r="F96" s="11">
        <v>2</v>
      </c>
      <c r="G96" s="10">
        <v>0.03</v>
      </c>
      <c r="H96" s="11">
        <v>21</v>
      </c>
      <c r="I96" s="10">
        <v>0.33</v>
      </c>
      <c r="J96" s="11"/>
      <c r="K96" s="10"/>
      <c r="L96" s="11"/>
      <c r="M96" s="10"/>
      <c r="N96" s="12">
        <v>23</v>
      </c>
      <c r="O96" s="13">
        <v>0.36</v>
      </c>
    </row>
    <row r="97">
      <c r="A97" s="10" t="s">
        <v>15</v>
      </c>
      <c r="B97" s="11"/>
      <c r="C97" s="10"/>
      <c r="D97" s="11"/>
      <c r="E97" s="10"/>
      <c r="F97" s="11">
        <v>3</v>
      </c>
      <c r="G97" s="10">
        <v>0.05</v>
      </c>
      <c r="H97" s="11">
        <v>9</v>
      </c>
      <c r="I97" s="10">
        <v>0.14</v>
      </c>
      <c r="J97" s="11">
        <v>3</v>
      </c>
      <c r="K97" s="10">
        <v>0.05</v>
      </c>
      <c r="L97" s="11">
        <v>1</v>
      </c>
      <c r="M97" s="10">
        <v>0.02</v>
      </c>
      <c r="N97" s="12">
        <v>16</v>
      </c>
      <c r="O97" s="13">
        <v>0.26</v>
      </c>
    </row>
    <row r="98">
      <c r="A98" s="10" t="s">
        <v>16</v>
      </c>
      <c r="B98" s="11"/>
      <c r="C98" s="10"/>
      <c r="D98" s="11"/>
      <c r="E98" s="10"/>
      <c r="F98" s="11">
        <v>2</v>
      </c>
      <c r="G98" s="10">
        <v>0.03</v>
      </c>
      <c r="H98" s="11">
        <v>1</v>
      </c>
      <c r="I98" s="10">
        <v>0.02</v>
      </c>
      <c r="J98" s="11">
        <v>2</v>
      </c>
      <c r="K98" s="10">
        <v>0.03</v>
      </c>
      <c r="L98" s="11"/>
      <c r="M98" s="10"/>
      <c r="N98" s="12">
        <v>5</v>
      </c>
      <c r="O98" s="13">
        <v>0.08</v>
      </c>
    </row>
    <row r="99">
      <c r="A99" s="10" t="s">
        <v>17</v>
      </c>
      <c r="B99" s="11"/>
      <c r="C99" s="10"/>
      <c r="D99" s="11"/>
      <c r="E99" s="10"/>
      <c r="F99" s="11"/>
      <c r="G99" s="10"/>
      <c r="H99" s="11"/>
      <c r="I99" s="10"/>
      <c r="J99" s="11">
        <v>1</v>
      </c>
      <c r="K99" s="10">
        <v>0.02</v>
      </c>
      <c r="L99" s="11"/>
      <c r="M99" s="10"/>
      <c r="N99" s="12">
        <v>1</v>
      </c>
      <c r="O99" s="13">
        <v>0.02</v>
      </c>
    </row>
    <row r="100">
      <c r="A100" s="7" t="s">
        <v>36</v>
      </c>
      <c r="B100" s="12"/>
      <c r="C100" s="14"/>
      <c r="D100" s="12"/>
      <c r="E100" s="14"/>
      <c r="F100" s="8">
        <v>1</v>
      </c>
      <c r="G100" s="7">
        <v>0.02</v>
      </c>
      <c r="H100" s="8">
        <v>1</v>
      </c>
      <c r="I100" s="7">
        <v>0.02</v>
      </c>
      <c r="J100" s="8">
        <v>2</v>
      </c>
      <c r="K100" s="7">
        <v>0.04</v>
      </c>
      <c r="L100" s="8">
        <v>1</v>
      </c>
      <c r="M100" s="7">
        <v>0.02</v>
      </c>
      <c r="N100" s="8">
        <v>5</v>
      </c>
      <c r="O100" s="9">
        <v>0.1</v>
      </c>
    </row>
    <row r="101">
      <c r="A101" s="10" t="s">
        <v>14</v>
      </c>
      <c r="B101" s="11"/>
      <c r="C101" s="10"/>
      <c r="D101" s="11"/>
      <c r="E101" s="10"/>
      <c r="F101" s="11"/>
      <c r="G101" s="10"/>
      <c r="H101" s="11"/>
      <c r="I101" s="10"/>
      <c r="J101" s="11">
        <v>1</v>
      </c>
      <c r="K101" s="10">
        <v>0.02</v>
      </c>
      <c r="L101" s="11"/>
      <c r="M101" s="10"/>
      <c r="N101" s="12">
        <v>1</v>
      </c>
      <c r="O101" s="13">
        <v>0.02</v>
      </c>
    </row>
    <row r="102">
      <c r="A102" s="10" t="s">
        <v>15</v>
      </c>
      <c r="B102" s="11"/>
      <c r="C102" s="10"/>
      <c r="D102" s="11"/>
      <c r="E102" s="10"/>
      <c r="F102" s="11"/>
      <c r="G102" s="10"/>
      <c r="H102" s="11">
        <v>1</v>
      </c>
      <c r="I102" s="10">
        <v>0.02</v>
      </c>
      <c r="J102" s="11">
        <v>1</v>
      </c>
      <c r="K102" s="10">
        <v>0.02</v>
      </c>
      <c r="L102" s="11">
        <v>1</v>
      </c>
      <c r="M102" s="10">
        <v>0.02</v>
      </c>
      <c r="N102" s="12">
        <v>3</v>
      </c>
      <c r="O102" s="13">
        <v>0.06</v>
      </c>
    </row>
    <row r="103">
      <c r="A103" s="10" t="s">
        <v>16</v>
      </c>
      <c r="B103" s="11"/>
      <c r="C103" s="10"/>
      <c r="D103" s="11"/>
      <c r="E103" s="10"/>
      <c r="F103" s="11">
        <v>1</v>
      </c>
      <c r="G103" s="10">
        <v>0.02</v>
      </c>
      <c r="H103" s="11"/>
      <c r="I103" s="10"/>
      <c r="J103" s="11"/>
      <c r="K103" s="10"/>
      <c r="L103" s="11"/>
      <c r="M103" s="10"/>
      <c r="N103" s="12">
        <v>1</v>
      </c>
      <c r="O103" s="13">
        <v>0.02</v>
      </c>
    </row>
    <row r="104">
      <c r="A104" s="7" t="s">
        <v>37</v>
      </c>
      <c r="B104" s="12"/>
      <c r="C104" s="14"/>
      <c r="D104" s="12"/>
      <c r="E104" s="14"/>
      <c r="F104" s="12"/>
      <c r="G104" s="14"/>
      <c r="H104" s="8">
        <v>2</v>
      </c>
      <c r="I104" s="7">
        <v>0.04</v>
      </c>
      <c r="J104" s="8">
        <v>1</v>
      </c>
      <c r="K104" s="7">
        <v>0.02</v>
      </c>
      <c r="L104" s="8">
        <v>1</v>
      </c>
      <c r="M104" s="7">
        <v>0.02</v>
      </c>
      <c r="N104" s="8">
        <v>4</v>
      </c>
      <c r="O104" s="9">
        <v>0.08</v>
      </c>
    </row>
    <row r="105">
      <c r="A105" s="10" t="s">
        <v>14</v>
      </c>
      <c r="B105" s="11"/>
      <c r="C105" s="10"/>
      <c r="D105" s="11"/>
      <c r="E105" s="10"/>
      <c r="F105" s="11"/>
      <c r="G105" s="10"/>
      <c r="H105" s="11">
        <v>1</v>
      </c>
      <c r="I105" s="10">
        <v>0.02</v>
      </c>
      <c r="J105" s="11"/>
      <c r="K105" s="10"/>
      <c r="L105" s="11">
        <v>1</v>
      </c>
      <c r="M105" s="10">
        <v>0.02</v>
      </c>
      <c r="N105" s="12">
        <v>2</v>
      </c>
      <c r="O105" s="13">
        <v>0.04</v>
      </c>
    </row>
    <row r="106">
      <c r="A106" s="10" t="s">
        <v>15</v>
      </c>
      <c r="B106" s="11"/>
      <c r="C106" s="10"/>
      <c r="D106" s="11"/>
      <c r="E106" s="10"/>
      <c r="F106" s="11"/>
      <c r="G106" s="10"/>
      <c r="H106" s="11">
        <v>1</v>
      </c>
      <c r="I106" s="10">
        <v>0.02</v>
      </c>
      <c r="J106" s="11"/>
      <c r="K106" s="10"/>
      <c r="L106" s="11"/>
      <c r="M106" s="10"/>
      <c r="N106" s="12">
        <v>1</v>
      </c>
      <c r="O106" s="13">
        <v>0.02</v>
      </c>
    </row>
    <row r="107">
      <c r="A107" s="10" t="s">
        <v>16</v>
      </c>
      <c r="B107" s="11"/>
      <c r="C107" s="10"/>
      <c r="D107" s="11"/>
      <c r="E107" s="10"/>
      <c r="F107" s="11"/>
      <c r="G107" s="10"/>
      <c r="H107" s="11"/>
      <c r="I107" s="10"/>
      <c r="J107" s="11">
        <v>1</v>
      </c>
      <c r="K107" s="10">
        <v>0.02</v>
      </c>
      <c r="L107" s="11"/>
      <c r="M107" s="10"/>
      <c r="N107" s="12">
        <v>1</v>
      </c>
      <c r="O107" s="13">
        <v>0.02</v>
      </c>
    </row>
    <row r="108">
      <c r="A108" s="7" t="s">
        <v>38</v>
      </c>
      <c r="B108" s="12"/>
      <c r="C108" s="14"/>
      <c r="D108" s="12"/>
      <c r="E108" s="14"/>
      <c r="F108" s="12"/>
      <c r="G108" s="14"/>
      <c r="H108" s="12"/>
      <c r="I108" s="14"/>
      <c r="J108" s="8">
        <v>1</v>
      </c>
      <c r="K108" s="7">
        <v>0.02</v>
      </c>
      <c r="L108" s="12"/>
      <c r="M108" s="14"/>
      <c r="N108" s="8">
        <v>1</v>
      </c>
      <c r="O108" s="9">
        <v>0.02</v>
      </c>
    </row>
    <row r="109">
      <c r="A109" s="10" t="s">
        <v>15</v>
      </c>
      <c r="B109" s="11"/>
      <c r="C109" s="10"/>
      <c r="D109" s="11"/>
      <c r="E109" s="10"/>
      <c r="F109" s="11"/>
      <c r="G109" s="10"/>
      <c r="H109" s="11"/>
      <c r="I109" s="10"/>
      <c r="J109" s="11">
        <v>1</v>
      </c>
      <c r="K109" s="10">
        <v>0.02</v>
      </c>
      <c r="L109" s="11"/>
      <c r="M109" s="10"/>
      <c r="N109" s="12">
        <v>1</v>
      </c>
      <c r="O109" s="13">
        <v>0.02</v>
      </c>
    </row>
    <row r="110">
      <c r="A110" s="15" t="s">
        <v>11</v>
      </c>
      <c r="B110" s="16">
        <v>69</v>
      </c>
      <c r="C110" s="15">
        <v>1.11</v>
      </c>
      <c r="D110" s="16">
        <v>1657</v>
      </c>
      <c r="E110" s="15">
        <v>26.34</v>
      </c>
      <c r="F110" s="16">
        <v>2791</v>
      </c>
      <c r="G110" s="15">
        <v>44.38</v>
      </c>
      <c r="H110" s="16">
        <v>1039</v>
      </c>
      <c r="I110" s="15">
        <v>16.57</v>
      </c>
      <c r="J110" s="16">
        <v>438</v>
      </c>
      <c r="K110" s="15">
        <v>7.03</v>
      </c>
      <c r="L110" s="16">
        <v>40</v>
      </c>
      <c r="M110" s="15">
        <v>0.67</v>
      </c>
      <c r="N110" s="16">
        <v>6034</v>
      </c>
      <c r="O110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0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39</v>
      </c>
      <c r="B1" s="2" t="s">
        <v>39</v>
      </c>
      <c r="C1" s="2" t="s">
        <v>39</v>
      </c>
      <c r="D1" s="2" t="s">
        <v>39</v>
      </c>
      <c r="E1" s="2" t="s">
        <v>39</v>
      </c>
      <c r="F1" s="2" t="s">
        <v>39</v>
      </c>
      <c r="G1" s="2" t="s">
        <v>39</v>
      </c>
      <c r="H1" s="2" t="s">
        <v>39</v>
      </c>
      <c r="I1" s="2" t="s">
        <v>39</v>
      </c>
      <c r="J1" s="2" t="s">
        <v>39</v>
      </c>
      <c r="K1" s="2" t="s">
        <v>39</v>
      </c>
      <c r="L1" s="2" t="s">
        <v>39</v>
      </c>
      <c r="M1" s="2" t="s">
        <v>39</v>
      </c>
      <c r="N1" s="2" t="s">
        <v>39</v>
      </c>
      <c r="O1" s="2" t="s">
        <v>39</v>
      </c>
    </row>
    <row r="2">
      <c r="A2" s="3" t="s">
        <v>1</v>
      </c>
      <c r="B2" s="4" t="s">
        <v>40</v>
      </c>
      <c r="C2" s="4" t="s">
        <v>3</v>
      </c>
      <c r="D2" s="4" t="s">
        <v>40</v>
      </c>
      <c r="E2" s="4" t="s">
        <v>3</v>
      </c>
      <c r="F2" s="4" t="s">
        <v>40</v>
      </c>
      <c r="G2" s="4" t="s">
        <v>3</v>
      </c>
      <c r="H2" s="4" t="s">
        <v>40</v>
      </c>
      <c r="I2" s="4" t="s">
        <v>3</v>
      </c>
      <c r="J2" s="4" t="s">
        <v>40</v>
      </c>
      <c r="K2" s="4" t="s">
        <v>3</v>
      </c>
      <c r="L2" s="4" t="s">
        <v>40</v>
      </c>
      <c r="M2" s="4" t="s">
        <v>3</v>
      </c>
      <c r="N2" s="4" t="s">
        <v>40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0.61</v>
      </c>
      <c r="D4" s="17">
        <v>1030.013</v>
      </c>
      <c r="E4" s="7">
        <v>11.74</v>
      </c>
      <c r="F4" s="17">
        <v>1385.952</v>
      </c>
      <c r="G4" s="7">
        <v>15.8</v>
      </c>
      <c r="H4" s="17">
        <v>351.92</v>
      </c>
      <c r="I4" s="7">
        <v>4.01</v>
      </c>
      <c r="J4" s="17">
        <v>226.93</v>
      </c>
      <c r="K4" s="7">
        <v>2.59</v>
      </c>
      <c r="L4" s="17">
        <v>17.54</v>
      </c>
      <c r="M4" s="7">
        <v>0.2</v>
      </c>
      <c r="N4" s="17">
        <v>3065.365</v>
      </c>
      <c r="O4" s="9">
        <v>34.95</v>
      </c>
    </row>
    <row r="5">
      <c r="A5" s="10" t="s">
        <v>13</v>
      </c>
      <c r="B5" s="18">
        <v>12.33</v>
      </c>
      <c r="C5" s="10">
        <v>0.14</v>
      </c>
      <c r="D5" s="18">
        <v>277</v>
      </c>
      <c r="E5" s="10">
        <v>3.16</v>
      </c>
      <c r="F5" s="18">
        <v>654.186</v>
      </c>
      <c r="G5" s="10">
        <v>7.46</v>
      </c>
      <c r="H5" s="18">
        <v>110.48</v>
      </c>
      <c r="I5" s="10">
        <v>1.26</v>
      </c>
      <c r="J5" s="18">
        <v>55.18</v>
      </c>
      <c r="K5" s="10">
        <v>0.63</v>
      </c>
      <c r="L5" s="18">
        <v>2.1</v>
      </c>
      <c r="M5" s="10">
        <v>0.02</v>
      </c>
      <c r="N5" s="19">
        <v>1111.276</v>
      </c>
      <c r="O5" s="13">
        <v>12.67</v>
      </c>
    </row>
    <row r="6">
      <c r="A6" s="10" t="s">
        <v>14</v>
      </c>
      <c r="B6" s="18">
        <v>19.79</v>
      </c>
      <c r="C6" s="10">
        <v>0.23</v>
      </c>
      <c r="D6" s="18">
        <v>356.33</v>
      </c>
      <c r="E6" s="10">
        <v>4.06</v>
      </c>
      <c r="F6" s="18">
        <v>446.208</v>
      </c>
      <c r="G6" s="10">
        <v>5.09</v>
      </c>
      <c r="H6" s="18">
        <v>129.72</v>
      </c>
      <c r="I6" s="10">
        <v>1.48</v>
      </c>
      <c r="J6" s="18">
        <v>117.38</v>
      </c>
      <c r="K6" s="10">
        <v>1.34</v>
      </c>
      <c r="L6" s="18">
        <v>4.14</v>
      </c>
      <c r="M6" s="10">
        <v>0.05</v>
      </c>
      <c r="N6" s="19">
        <v>1073.568</v>
      </c>
      <c r="O6" s="13">
        <v>12.25</v>
      </c>
    </row>
    <row r="7">
      <c r="A7" s="10" t="s">
        <v>15</v>
      </c>
      <c r="B7" s="18">
        <v>15.72</v>
      </c>
      <c r="C7" s="10">
        <v>0.18</v>
      </c>
      <c r="D7" s="18">
        <v>276.763</v>
      </c>
      <c r="E7" s="10">
        <v>3.15</v>
      </c>
      <c r="F7" s="18">
        <v>260.028</v>
      </c>
      <c r="G7" s="10">
        <v>2.96</v>
      </c>
      <c r="H7" s="18">
        <v>101.2</v>
      </c>
      <c r="I7" s="10">
        <v>1.15</v>
      </c>
      <c r="J7" s="18">
        <v>42.89</v>
      </c>
      <c r="K7" s="10">
        <v>0.49</v>
      </c>
      <c r="L7" s="18">
        <v>11.3</v>
      </c>
      <c r="M7" s="10">
        <v>0.13</v>
      </c>
      <c r="N7" s="19">
        <v>707.901</v>
      </c>
      <c r="O7" s="13">
        <v>8.06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1.21</v>
      </c>
      <c r="F8" s="18">
        <v>20.26</v>
      </c>
      <c r="G8" s="10">
        <v>0.23</v>
      </c>
      <c r="H8" s="18">
        <v>9.52</v>
      </c>
      <c r="I8" s="10">
        <v>0.11</v>
      </c>
      <c r="J8" s="18">
        <v>8.3</v>
      </c>
      <c r="K8" s="10">
        <v>0.09</v>
      </c>
      <c r="L8" s="18"/>
      <c r="M8" s="10"/>
      <c r="N8" s="19">
        <v>149.53</v>
      </c>
      <c r="O8" s="13">
        <v>1.7</v>
      </c>
    </row>
    <row r="9">
      <c r="A9" s="10" t="s">
        <v>17</v>
      </c>
      <c r="B9" s="18"/>
      <c r="C9" s="10"/>
      <c r="D9" s="18">
        <v>13.64</v>
      </c>
      <c r="E9" s="10">
        <v>0.16</v>
      </c>
      <c r="F9" s="18">
        <v>4.18</v>
      </c>
      <c r="G9" s="10">
        <v>0.05</v>
      </c>
      <c r="H9" s="18">
        <v>1</v>
      </c>
      <c r="I9" s="10">
        <v>0.01</v>
      </c>
      <c r="J9" s="18">
        <v>3.18</v>
      </c>
      <c r="K9" s="10">
        <v>0.04</v>
      </c>
      <c r="L9" s="18"/>
      <c r="M9" s="10"/>
      <c r="N9" s="19">
        <v>22</v>
      </c>
      <c r="O9" s="13">
        <v>0.26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0.36</v>
      </c>
      <c r="F11" s="17">
        <v>53.59</v>
      </c>
      <c r="G11" s="7">
        <v>0.61</v>
      </c>
      <c r="H11" s="17">
        <v>37.63</v>
      </c>
      <c r="I11" s="7">
        <v>0.43</v>
      </c>
      <c r="J11" s="17">
        <v>18.06</v>
      </c>
      <c r="K11" s="7">
        <v>0.21</v>
      </c>
      <c r="L11" s="19"/>
      <c r="M11" s="14"/>
      <c r="N11" s="17">
        <v>140.85</v>
      </c>
      <c r="O11" s="9">
        <v>1.61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0.07</v>
      </c>
      <c r="J12" s="18">
        <v>4.6</v>
      </c>
      <c r="K12" s="10">
        <v>0.05</v>
      </c>
      <c r="L12" s="18"/>
      <c r="M12" s="10"/>
      <c r="N12" s="19">
        <v>23</v>
      </c>
      <c r="O12" s="13">
        <v>0.26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0.35</v>
      </c>
      <c r="H13" s="18">
        <v>20.26</v>
      </c>
      <c r="I13" s="10">
        <v>0.23</v>
      </c>
      <c r="J13" s="18">
        <v>10.11</v>
      </c>
      <c r="K13" s="10">
        <v>0.12</v>
      </c>
      <c r="L13" s="18"/>
      <c r="M13" s="10"/>
      <c r="N13" s="19">
        <v>72.34</v>
      </c>
      <c r="O13" s="13">
        <v>0.83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0.03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0.06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258.02</v>
      </c>
      <c r="E17" s="7">
        <v>2.93</v>
      </c>
      <c r="F17" s="17">
        <v>409.15</v>
      </c>
      <c r="G17" s="7">
        <v>4.66</v>
      </c>
      <c r="H17" s="17">
        <v>144.53</v>
      </c>
      <c r="I17" s="7">
        <v>1.65</v>
      </c>
      <c r="J17" s="17">
        <v>34.58</v>
      </c>
      <c r="K17" s="7">
        <v>0.39</v>
      </c>
      <c r="L17" s="17">
        <v>6.23</v>
      </c>
      <c r="M17" s="7">
        <v>0.06</v>
      </c>
      <c r="N17" s="17">
        <v>860.09</v>
      </c>
      <c r="O17" s="9">
        <v>9.77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0.56</v>
      </c>
      <c r="F18" s="18">
        <v>81.15</v>
      </c>
      <c r="G18" s="10">
        <v>0.92</v>
      </c>
      <c r="H18" s="18">
        <v>41.8</v>
      </c>
      <c r="I18" s="10">
        <v>0.48</v>
      </c>
      <c r="J18" s="18">
        <v>8.49</v>
      </c>
      <c r="K18" s="10">
        <v>0.1</v>
      </c>
      <c r="L18" s="18">
        <v>3.67</v>
      </c>
      <c r="M18" s="10">
        <v>0.04</v>
      </c>
      <c r="N18" s="19">
        <v>188.34</v>
      </c>
      <c r="O18" s="13">
        <v>2.14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1.09</v>
      </c>
      <c r="F19" s="18">
        <v>116.28</v>
      </c>
      <c r="G19" s="10">
        <v>1.33</v>
      </c>
      <c r="H19" s="18">
        <v>40.75</v>
      </c>
      <c r="I19" s="10">
        <v>0.46</v>
      </c>
      <c r="J19" s="18">
        <v>9.94</v>
      </c>
      <c r="K19" s="10">
        <v>0.11</v>
      </c>
      <c r="L19" s="18"/>
      <c r="M19" s="10"/>
      <c r="N19" s="19">
        <v>264.79</v>
      </c>
      <c r="O19" s="13">
        <v>3.02</v>
      </c>
    </row>
    <row r="20">
      <c r="A20" s="10" t="s">
        <v>15</v>
      </c>
      <c r="B20" s="18">
        <v>1.3</v>
      </c>
      <c r="C20" s="10">
        <v>0.01</v>
      </c>
      <c r="D20" s="18">
        <v>84.66</v>
      </c>
      <c r="E20" s="10">
        <v>0.96</v>
      </c>
      <c r="F20" s="18">
        <v>173.64</v>
      </c>
      <c r="G20" s="10">
        <v>1.98</v>
      </c>
      <c r="H20" s="18">
        <v>48.35</v>
      </c>
      <c r="I20" s="10">
        <v>0.55</v>
      </c>
      <c r="J20" s="18">
        <v>16.15</v>
      </c>
      <c r="K20" s="10">
        <v>0.18</v>
      </c>
      <c r="L20" s="18">
        <v>1.29</v>
      </c>
      <c r="M20" s="10">
        <v>0.01</v>
      </c>
      <c r="N20" s="19">
        <v>325.39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0.24</v>
      </c>
      <c r="F21" s="18">
        <v>33.19</v>
      </c>
      <c r="G21" s="10">
        <v>0.38</v>
      </c>
      <c r="H21" s="18">
        <v>13.63</v>
      </c>
      <c r="I21" s="10">
        <v>0.16</v>
      </c>
      <c r="J21" s="18"/>
      <c r="K21" s="10"/>
      <c r="L21" s="18"/>
      <c r="M21" s="10"/>
      <c r="N21" s="19">
        <v>67.89</v>
      </c>
      <c r="O21" s="13">
        <v>0.78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13.49</v>
      </c>
      <c r="G24" s="7">
        <v>0.15</v>
      </c>
      <c r="H24" s="17">
        <v>9.74</v>
      </c>
      <c r="I24" s="7">
        <v>0.11</v>
      </c>
      <c r="J24" s="17">
        <v>15.19</v>
      </c>
      <c r="K24" s="7">
        <v>0.18</v>
      </c>
      <c r="L24" s="19"/>
      <c r="M24" s="14"/>
      <c r="N24" s="17">
        <v>48.1</v>
      </c>
      <c r="O24" s="9">
        <v>0.54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5.49</v>
      </c>
      <c r="G26" s="10">
        <v>0.06</v>
      </c>
      <c r="H26" s="18">
        <v>6.76</v>
      </c>
      <c r="I26" s="10">
        <v>0.08</v>
      </c>
      <c r="J26" s="18">
        <v>1.39</v>
      </c>
      <c r="K26" s="10">
        <v>0.02</v>
      </c>
      <c r="L26" s="18"/>
      <c r="M26" s="10"/>
      <c r="N26" s="19">
        <v>19.21</v>
      </c>
      <c r="O26" s="13">
        <v>0.22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/>
      <c r="G28" s="10"/>
      <c r="H28" s="18"/>
      <c r="I28" s="10"/>
      <c r="J28" s="18"/>
      <c r="K28" s="10"/>
      <c r="L28" s="18"/>
      <c r="M28" s="10"/>
      <c r="N28" s="19">
        <v>2.8</v>
      </c>
      <c r="O28" s="13">
        <v>0.03</v>
      </c>
    </row>
    <row r="29">
      <c r="A29" s="7" t="s">
        <v>22</v>
      </c>
      <c r="B29" s="17">
        <v>18.42</v>
      </c>
      <c r="C29" s="7">
        <v>0.21</v>
      </c>
      <c r="D29" s="17">
        <v>592.7</v>
      </c>
      <c r="E29" s="7">
        <v>6.75</v>
      </c>
      <c r="F29" s="17">
        <v>1377.42</v>
      </c>
      <c r="G29" s="7">
        <v>15.69</v>
      </c>
      <c r="H29" s="17">
        <v>475.19</v>
      </c>
      <c r="I29" s="7">
        <v>5.42</v>
      </c>
      <c r="J29" s="17">
        <v>120.47</v>
      </c>
      <c r="K29" s="7">
        <v>1.37</v>
      </c>
      <c r="L29" s="17">
        <v>9.1</v>
      </c>
      <c r="M29" s="7">
        <v>0.1</v>
      </c>
      <c r="N29" s="17">
        <v>2593.3</v>
      </c>
      <c r="O29" s="9">
        <v>29.54</v>
      </c>
    </row>
    <row r="30">
      <c r="A30" s="10" t="s">
        <v>13</v>
      </c>
      <c r="B30" s="18">
        <v>1.5</v>
      </c>
      <c r="C30" s="10">
        <v>0.02</v>
      </c>
      <c r="D30" s="18">
        <v>174.17</v>
      </c>
      <c r="E30" s="10">
        <v>1.98</v>
      </c>
      <c r="F30" s="18">
        <v>465.95</v>
      </c>
      <c r="G30" s="10">
        <v>5.31</v>
      </c>
      <c r="H30" s="18">
        <v>97.69</v>
      </c>
      <c r="I30" s="10">
        <v>1.11</v>
      </c>
      <c r="J30" s="18">
        <v>44.06</v>
      </c>
      <c r="K30" s="10">
        <v>0.5</v>
      </c>
      <c r="L30" s="18">
        <v>3</v>
      </c>
      <c r="M30" s="10">
        <v>0.03</v>
      </c>
      <c r="N30" s="19">
        <v>786.37</v>
      </c>
      <c r="O30" s="13">
        <v>8.95</v>
      </c>
    </row>
    <row r="31">
      <c r="A31" s="10" t="s">
        <v>14</v>
      </c>
      <c r="B31" s="18">
        <v>10.71</v>
      </c>
      <c r="C31" s="10">
        <v>0.12</v>
      </c>
      <c r="D31" s="18">
        <v>189.28</v>
      </c>
      <c r="E31" s="10">
        <v>2.16</v>
      </c>
      <c r="F31" s="18">
        <v>467.01</v>
      </c>
      <c r="G31" s="10">
        <v>5.32</v>
      </c>
      <c r="H31" s="18">
        <v>203.35</v>
      </c>
      <c r="I31" s="10">
        <v>2.32</v>
      </c>
      <c r="J31" s="18">
        <v>32.15</v>
      </c>
      <c r="K31" s="10">
        <v>0.37</v>
      </c>
      <c r="L31" s="18">
        <v>3.06</v>
      </c>
      <c r="M31" s="10">
        <v>0.03</v>
      </c>
      <c r="N31" s="19">
        <v>905.56</v>
      </c>
      <c r="O31" s="13">
        <v>10.32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2.11</v>
      </c>
      <c r="F32" s="18">
        <v>395.17</v>
      </c>
      <c r="G32" s="10">
        <v>4.5</v>
      </c>
      <c r="H32" s="18">
        <v>161.92</v>
      </c>
      <c r="I32" s="10">
        <v>1.85</v>
      </c>
      <c r="J32" s="18">
        <v>38.11</v>
      </c>
      <c r="K32" s="10">
        <v>0.43</v>
      </c>
      <c r="L32" s="18">
        <v>1.51</v>
      </c>
      <c r="M32" s="10">
        <v>0.02</v>
      </c>
      <c r="N32" s="19">
        <v>786.36</v>
      </c>
      <c r="O32" s="13">
        <v>8.96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0.43</v>
      </c>
      <c r="F33" s="18">
        <v>46.24</v>
      </c>
      <c r="G33" s="10">
        <v>0.53</v>
      </c>
      <c r="H33" s="18">
        <v>12.23</v>
      </c>
      <c r="I33" s="10">
        <v>0.14</v>
      </c>
      <c r="J33" s="18">
        <v>6.15</v>
      </c>
      <c r="K33" s="10">
        <v>0.07</v>
      </c>
      <c r="L33" s="18">
        <v>1.53</v>
      </c>
      <c r="M33" s="10">
        <v>0.02</v>
      </c>
      <c r="N33" s="19">
        <v>105.86</v>
      </c>
      <c r="O33" s="13">
        <v>1.21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7" t="s">
        <v>23</v>
      </c>
      <c r="B35" s="19"/>
      <c r="C35" s="14"/>
      <c r="D35" s="17">
        <v>6.43</v>
      </c>
      <c r="E35" s="7">
        <v>0.08</v>
      </c>
      <c r="F35" s="17">
        <v>29.08</v>
      </c>
      <c r="G35" s="7">
        <v>0.33</v>
      </c>
      <c r="H35" s="17">
        <v>16.1</v>
      </c>
      <c r="I35" s="7">
        <v>0.18</v>
      </c>
      <c r="J35" s="17">
        <v>3.2</v>
      </c>
      <c r="K35" s="7">
        <v>0.04</v>
      </c>
      <c r="L35" s="19"/>
      <c r="M35" s="14"/>
      <c r="N35" s="17">
        <v>54.81</v>
      </c>
      <c r="O35" s="9">
        <v>0.63</v>
      </c>
    </row>
    <row r="36">
      <c r="A36" s="10" t="s">
        <v>13</v>
      </c>
      <c r="B36" s="18"/>
      <c r="C36" s="10"/>
      <c r="D36" s="18">
        <v>1.61</v>
      </c>
      <c r="E36" s="10">
        <v>0.02</v>
      </c>
      <c r="F36" s="18">
        <v>4.8</v>
      </c>
      <c r="G36" s="10">
        <v>0.05</v>
      </c>
      <c r="H36" s="18">
        <v>1.6</v>
      </c>
      <c r="I36" s="10">
        <v>0.02</v>
      </c>
      <c r="J36" s="18">
        <v>1.6</v>
      </c>
      <c r="K36" s="10">
        <v>0.02</v>
      </c>
      <c r="L36" s="18"/>
      <c r="M36" s="10"/>
      <c r="N36" s="19">
        <v>9.61</v>
      </c>
      <c r="O36" s="13">
        <v>0.11</v>
      </c>
    </row>
    <row r="37">
      <c r="A37" s="10" t="s">
        <v>14</v>
      </c>
      <c r="B37" s="18"/>
      <c r="C37" s="10"/>
      <c r="D37" s="18">
        <v>3.21</v>
      </c>
      <c r="E37" s="10">
        <v>0.04</v>
      </c>
      <c r="F37" s="18">
        <v>8.13</v>
      </c>
      <c r="G37" s="10">
        <v>0.09</v>
      </c>
      <c r="H37" s="18">
        <v>8.06</v>
      </c>
      <c r="I37" s="10">
        <v>0.09</v>
      </c>
      <c r="J37" s="18">
        <v>1.6</v>
      </c>
      <c r="K37" s="10">
        <v>0.02</v>
      </c>
      <c r="L37" s="18"/>
      <c r="M37" s="10"/>
      <c r="N37" s="19">
        <v>21</v>
      </c>
      <c r="O37" s="13">
        <v>0.24</v>
      </c>
    </row>
    <row r="38">
      <c r="A38" s="10" t="s">
        <v>15</v>
      </c>
      <c r="B38" s="18"/>
      <c r="C38" s="10"/>
      <c r="D38" s="18">
        <v>1.61</v>
      </c>
      <c r="E38" s="10">
        <v>0.02</v>
      </c>
      <c r="F38" s="18">
        <v>9.63</v>
      </c>
      <c r="G38" s="10">
        <v>0.11</v>
      </c>
      <c r="H38" s="18">
        <v>6.44</v>
      </c>
      <c r="I38" s="10">
        <v>0.07</v>
      </c>
      <c r="J38" s="18"/>
      <c r="K38" s="10"/>
      <c r="L38" s="18"/>
      <c r="M38" s="10"/>
      <c r="N38" s="19">
        <v>17.68</v>
      </c>
      <c r="O38" s="13">
        <v>0.2</v>
      </c>
    </row>
    <row r="39">
      <c r="A39" s="10" t="s">
        <v>16</v>
      </c>
      <c r="B39" s="18"/>
      <c r="C39" s="10"/>
      <c r="D39" s="18"/>
      <c r="E39" s="10"/>
      <c r="F39" s="18">
        <v>3.23</v>
      </c>
      <c r="G39" s="10">
        <v>0.04</v>
      </c>
      <c r="H39" s="18"/>
      <c r="I39" s="10"/>
      <c r="J39" s="18"/>
      <c r="K39" s="10"/>
      <c r="L39" s="18"/>
      <c r="M39" s="10"/>
      <c r="N39" s="19">
        <v>3.23</v>
      </c>
      <c r="O39" s="13">
        <v>0.04</v>
      </c>
    </row>
    <row r="40">
      <c r="A40" s="10" t="s">
        <v>17</v>
      </c>
      <c r="B40" s="18"/>
      <c r="C40" s="10"/>
      <c r="D40" s="18"/>
      <c r="E40" s="10"/>
      <c r="F40" s="18">
        <v>1.69</v>
      </c>
      <c r="G40" s="10">
        <v>0.02</v>
      </c>
      <c r="H40" s="18"/>
      <c r="I40" s="10"/>
      <c r="J40" s="18"/>
      <c r="K40" s="10"/>
      <c r="L40" s="18"/>
      <c r="M40" s="10"/>
      <c r="N40" s="19">
        <v>1.69</v>
      </c>
      <c r="O40" s="13">
        <v>0.02</v>
      </c>
    </row>
    <row r="41">
      <c r="A41" s="10" t="s">
        <v>18</v>
      </c>
      <c r="B41" s="18"/>
      <c r="C41" s="10"/>
      <c r="D41" s="18"/>
      <c r="E41" s="10"/>
      <c r="F41" s="18">
        <v>1.6</v>
      </c>
      <c r="G41" s="10">
        <v>0.02</v>
      </c>
      <c r="H41" s="18"/>
      <c r="I41" s="10"/>
      <c r="J41" s="18"/>
      <c r="K41" s="10"/>
      <c r="L41" s="18"/>
      <c r="M41" s="10"/>
      <c r="N41" s="19">
        <v>1.6</v>
      </c>
      <c r="O41" s="13">
        <v>0.02</v>
      </c>
    </row>
    <row r="42">
      <c r="A42" s="7" t="s">
        <v>24</v>
      </c>
      <c r="B42" s="19"/>
      <c r="C42" s="14"/>
      <c r="D42" s="19"/>
      <c r="E42" s="14"/>
      <c r="F42" s="17">
        <v>23.12</v>
      </c>
      <c r="G42" s="7">
        <v>0.27</v>
      </c>
      <c r="H42" s="17">
        <v>28.74</v>
      </c>
      <c r="I42" s="7">
        <v>0.32</v>
      </c>
      <c r="J42" s="17">
        <v>18.34</v>
      </c>
      <c r="K42" s="7">
        <v>0.21</v>
      </c>
      <c r="L42" s="17">
        <v>3.74</v>
      </c>
      <c r="M42" s="7">
        <v>0.04</v>
      </c>
      <c r="N42" s="17">
        <v>73.94</v>
      </c>
      <c r="O42" s="9">
        <v>0.84</v>
      </c>
    </row>
    <row r="43">
      <c r="A43" s="10" t="s">
        <v>13</v>
      </c>
      <c r="B43" s="18"/>
      <c r="C43" s="10"/>
      <c r="D43" s="18"/>
      <c r="E43" s="10"/>
      <c r="F43" s="18">
        <v>1.7</v>
      </c>
      <c r="G43" s="10">
        <v>0.02</v>
      </c>
      <c r="H43" s="18">
        <v>1.73</v>
      </c>
      <c r="I43" s="10">
        <v>0.02</v>
      </c>
      <c r="J43" s="18">
        <v>1.76</v>
      </c>
      <c r="K43" s="10">
        <v>0.02</v>
      </c>
      <c r="L43" s="18"/>
      <c r="M43" s="10"/>
      <c r="N43" s="19">
        <v>5.19</v>
      </c>
      <c r="O43" s="13">
        <v>0.06</v>
      </c>
    </row>
    <row r="44">
      <c r="A44" s="10" t="s">
        <v>14</v>
      </c>
      <c r="B44" s="18"/>
      <c r="C44" s="10"/>
      <c r="D44" s="18"/>
      <c r="E44" s="10"/>
      <c r="F44" s="18">
        <v>18.01</v>
      </c>
      <c r="G44" s="10">
        <v>0.21</v>
      </c>
      <c r="H44" s="18">
        <v>19.59</v>
      </c>
      <c r="I44" s="10">
        <v>0.22</v>
      </c>
      <c r="J44" s="18">
        <v>7.52</v>
      </c>
      <c r="K44" s="10">
        <v>0.09</v>
      </c>
      <c r="L44" s="18">
        <v>1.97</v>
      </c>
      <c r="M44" s="10">
        <v>0.02</v>
      </c>
      <c r="N44" s="19">
        <v>47.09</v>
      </c>
      <c r="O44" s="13">
        <v>0.54</v>
      </c>
    </row>
    <row r="45">
      <c r="A45" s="10" t="s">
        <v>15</v>
      </c>
      <c r="B45" s="18"/>
      <c r="C45" s="10"/>
      <c r="D45" s="18"/>
      <c r="E45" s="10"/>
      <c r="F45" s="18">
        <v>3.41</v>
      </c>
      <c r="G45" s="10">
        <v>0.04</v>
      </c>
      <c r="H45" s="18">
        <v>5.58</v>
      </c>
      <c r="I45" s="10">
        <v>0.06</v>
      </c>
      <c r="J45" s="18">
        <v>7.28</v>
      </c>
      <c r="K45" s="10">
        <v>0.08</v>
      </c>
      <c r="L45" s="18">
        <v>1.77</v>
      </c>
      <c r="M45" s="10">
        <v>0.02</v>
      </c>
      <c r="N45" s="19">
        <v>18.04</v>
      </c>
      <c r="O45" s="13">
        <v>0.2</v>
      </c>
    </row>
    <row r="46">
      <c r="A46" s="10" t="s">
        <v>16</v>
      </c>
      <c r="B46" s="18"/>
      <c r="C46" s="10"/>
      <c r="D46" s="18"/>
      <c r="E46" s="10"/>
      <c r="F46" s="18"/>
      <c r="G46" s="10"/>
      <c r="H46" s="18">
        <v>1.84</v>
      </c>
      <c r="I46" s="10">
        <v>0.02</v>
      </c>
      <c r="J46" s="18"/>
      <c r="K46" s="10"/>
      <c r="L46" s="18"/>
      <c r="M46" s="10"/>
      <c r="N46" s="19">
        <v>1.84</v>
      </c>
      <c r="O46" s="13">
        <v>0.02</v>
      </c>
    </row>
    <row r="47">
      <c r="A47" s="10" t="s">
        <v>17</v>
      </c>
      <c r="B47" s="18"/>
      <c r="C47" s="10"/>
      <c r="D47" s="18"/>
      <c r="E47" s="10"/>
      <c r="F47" s="18"/>
      <c r="G47" s="10"/>
      <c r="H47" s="18"/>
      <c r="I47" s="10"/>
      <c r="J47" s="18">
        <v>1.78</v>
      </c>
      <c r="K47" s="10">
        <v>0.02</v>
      </c>
      <c r="L47" s="18"/>
      <c r="M47" s="10"/>
      <c r="N47" s="19">
        <v>1.78</v>
      </c>
      <c r="O47" s="13">
        <v>0.02</v>
      </c>
    </row>
    <row r="48">
      <c r="A48" s="7" t="s">
        <v>25</v>
      </c>
      <c r="B48" s="19"/>
      <c r="C48" s="14"/>
      <c r="D48" s="17">
        <v>63</v>
      </c>
      <c r="E48" s="7">
        <v>0.72</v>
      </c>
      <c r="F48" s="17">
        <v>193.2</v>
      </c>
      <c r="G48" s="7">
        <v>2.21</v>
      </c>
      <c r="H48" s="17">
        <v>224.16</v>
      </c>
      <c r="I48" s="7">
        <v>2.55</v>
      </c>
      <c r="J48" s="17">
        <v>52.62</v>
      </c>
      <c r="K48" s="7">
        <v>0.6</v>
      </c>
      <c r="L48" s="19"/>
      <c r="M48" s="14"/>
      <c r="N48" s="17">
        <v>532.98</v>
      </c>
      <c r="O48" s="9">
        <v>6.08</v>
      </c>
    </row>
    <row r="49">
      <c r="A49" s="10" t="s">
        <v>13</v>
      </c>
      <c r="B49" s="18"/>
      <c r="C49" s="10"/>
      <c r="D49" s="18">
        <v>10.2</v>
      </c>
      <c r="E49" s="10">
        <v>0.12</v>
      </c>
      <c r="F49" s="18">
        <v>22.4</v>
      </c>
      <c r="G49" s="10">
        <v>0.26</v>
      </c>
      <c r="H49" s="18">
        <v>32.53</v>
      </c>
      <c r="I49" s="10">
        <v>0.37</v>
      </c>
      <c r="J49" s="18">
        <v>8.16</v>
      </c>
      <c r="K49" s="10">
        <v>0.09</v>
      </c>
      <c r="L49" s="18"/>
      <c r="M49" s="10"/>
      <c r="N49" s="19">
        <v>73.29</v>
      </c>
      <c r="O49" s="13">
        <v>0.84</v>
      </c>
    </row>
    <row r="50">
      <c r="A50" s="10" t="s">
        <v>14</v>
      </c>
      <c r="B50" s="18"/>
      <c r="C50" s="10"/>
      <c r="D50" s="18">
        <v>16.26</v>
      </c>
      <c r="E50" s="10">
        <v>0.19</v>
      </c>
      <c r="F50" s="18">
        <v>73.27</v>
      </c>
      <c r="G50" s="10">
        <v>0.84</v>
      </c>
      <c r="H50" s="18">
        <v>107.96</v>
      </c>
      <c r="I50" s="10">
        <v>1.23</v>
      </c>
      <c r="J50" s="18">
        <v>24.32</v>
      </c>
      <c r="K50" s="10">
        <v>0.28</v>
      </c>
      <c r="L50" s="18"/>
      <c r="M50" s="10"/>
      <c r="N50" s="19">
        <v>221.81</v>
      </c>
      <c r="O50" s="13">
        <v>2.54</v>
      </c>
    </row>
    <row r="51">
      <c r="A51" s="10" t="s">
        <v>15</v>
      </c>
      <c r="B51" s="18"/>
      <c r="C51" s="10"/>
      <c r="D51" s="18">
        <v>22.29</v>
      </c>
      <c r="E51" s="10">
        <v>0.25</v>
      </c>
      <c r="F51" s="18">
        <v>83.22</v>
      </c>
      <c r="G51" s="10">
        <v>0.95</v>
      </c>
      <c r="H51" s="18">
        <v>71.31</v>
      </c>
      <c r="I51" s="10">
        <v>0.81</v>
      </c>
      <c r="J51" s="18">
        <v>20.14</v>
      </c>
      <c r="K51" s="10">
        <v>0.23</v>
      </c>
      <c r="L51" s="18"/>
      <c r="M51" s="10"/>
      <c r="N51" s="19">
        <v>196.96</v>
      </c>
      <c r="O51" s="13">
        <v>2.24</v>
      </c>
    </row>
    <row r="52">
      <c r="A52" s="10" t="s">
        <v>16</v>
      </c>
      <c r="B52" s="18"/>
      <c r="C52" s="10"/>
      <c r="D52" s="18">
        <v>14.25</v>
      </c>
      <c r="E52" s="10">
        <v>0.16</v>
      </c>
      <c r="F52" s="18">
        <v>12.31</v>
      </c>
      <c r="G52" s="10">
        <v>0.14</v>
      </c>
      <c r="H52" s="18">
        <v>12.36</v>
      </c>
      <c r="I52" s="10">
        <v>0.14</v>
      </c>
      <c r="J52" s="18"/>
      <c r="K52" s="10"/>
      <c r="L52" s="18"/>
      <c r="M52" s="10"/>
      <c r="N52" s="19">
        <v>38.92</v>
      </c>
      <c r="O52" s="13">
        <v>0.44</v>
      </c>
    </row>
    <row r="53">
      <c r="A53" s="10" t="s">
        <v>17</v>
      </c>
      <c r="B53" s="18"/>
      <c r="C53" s="10"/>
      <c r="D53" s="18"/>
      <c r="E53" s="10"/>
      <c r="F53" s="18">
        <v>2</v>
      </c>
      <c r="G53" s="10">
        <v>0.02</v>
      </c>
      <c r="H53" s="18"/>
      <c r="I53" s="10"/>
      <c r="J53" s="18"/>
      <c r="K53" s="10"/>
      <c r="L53" s="18"/>
      <c r="M53" s="10"/>
      <c r="N53" s="19">
        <v>2</v>
      </c>
      <c r="O53" s="13">
        <v>0.02</v>
      </c>
    </row>
    <row r="54">
      <c r="A54" s="7" t="s">
        <v>26</v>
      </c>
      <c r="B54" s="19"/>
      <c r="C54" s="14"/>
      <c r="D54" s="17">
        <v>2.11</v>
      </c>
      <c r="E54" s="7">
        <v>0.02</v>
      </c>
      <c r="F54" s="17">
        <v>9.03</v>
      </c>
      <c r="G54" s="7">
        <v>0.11</v>
      </c>
      <c r="H54" s="17">
        <v>37.01</v>
      </c>
      <c r="I54" s="7">
        <v>0.42</v>
      </c>
      <c r="J54" s="17">
        <v>13.7</v>
      </c>
      <c r="K54" s="7">
        <v>0.15</v>
      </c>
      <c r="L54" s="19"/>
      <c r="M54" s="14"/>
      <c r="N54" s="17">
        <v>61.85</v>
      </c>
      <c r="O54" s="9">
        <v>0.7</v>
      </c>
    </row>
    <row r="55">
      <c r="A55" s="10" t="s">
        <v>13</v>
      </c>
      <c r="B55" s="18"/>
      <c r="C55" s="10"/>
      <c r="D55" s="18"/>
      <c r="E55" s="10"/>
      <c r="F55" s="18"/>
      <c r="G55" s="10"/>
      <c r="H55" s="18">
        <v>6.62</v>
      </c>
      <c r="I55" s="10">
        <v>0.08</v>
      </c>
      <c r="J55" s="18"/>
      <c r="K55" s="10"/>
      <c r="L55" s="18"/>
      <c r="M55" s="10"/>
      <c r="N55" s="19">
        <v>6.62</v>
      </c>
      <c r="O55" s="13">
        <v>0.08</v>
      </c>
    </row>
    <row r="56">
      <c r="A56" s="10" t="s">
        <v>14</v>
      </c>
      <c r="B56" s="18"/>
      <c r="C56" s="10"/>
      <c r="D56" s="18"/>
      <c r="E56" s="10"/>
      <c r="F56" s="18">
        <v>2.23</v>
      </c>
      <c r="G56" s="10">
        <v>0.03</v>
      </c>
      <c r="H56" s="18">
        <v>15.3</v>
      </c>
      <c r="I56" s="10">
        <v>0.17</v>
      </c>
      <c r="J56" s="18">
        <v>2.15</v>
      </c>
      <c r="K56" s="10">
        <v>0.02</v>
      </c>
      <c r="L56" s="18"/>
      <c r="M56" s="10"/>
      <c r="N56" s="19">
        <v>19.68</v>
      </c>
      <c r="O56" s="13">
        <v>0.22</v>
      </c>
    </row>
    <row r="57">
      <c r="A57" s="10" t="s">
        <v>15</v>
      </c>
      <c r="B57" s="18"/>
      <c r="C57" s="10"/>
      <c r="D57" s="18"/>
      <c r="E57" s="10"/>
      <c r="F57" s="18">
        <v>6.8</v>
      </c>
      <c r="G57" s="10">
        <v>0.08</v>
      </c>
      <c r="H57" s="18">
        <v>8.57</v>
      </c>
      <c r="I57" s="10">
        <v>0.1</v>
      </c>
      <c r="J57" s="18">
        <v>6.97</v>
      </c>
      <c r="K57" s="10">
        <v>0.08</v>
      </c>
      <c r="L57" s="18"/>
      <c r="M57" s="10"/>
      <c r="N57" s="19">
        <v>22.34</v>
      </c>
      <c r="O57" s="13">
        <v>0.26</v>
      </c>
    </row>
    <row r="58">
      <c r="A58" s="10" t="s">
        <v>16</v>
      </c>
      <c r="B58" s="18"/>
      <c r="C58" s="10"/>
      <c r="D58" s="18">
        <v>2.11</v>
      </c>
      <c r="E58" s="10">
        <v>0.02</v>
      </c>
      <c r="F58" s="18"/>
      <c r="G58" s="10"/>
      <c r="H58" s="18">
        <v>4.39</v>
      </c>
      <c r="I58" s="10">
        <v>0.05</v>
      </c>
      <c r="J58" s="18">
        <v>4.58</v>
      </c>
      <c r="K58" s="10">
        <v>0.05</v>
      </c>
      <c r="L58" s="18"/>
      <c r="M58" s="10"/>
      <c r="N58" s="19">
        <v>11.08</v>
      </c>
      <c r="O58" s="13">
        <v>0.12</v>
      </c>
    </row>
    <row r="59">
      <c r="A59" s="10" t="s">
        <v>17</v>
      </c>
      <c r="B59" s="18"/>
      <c r="C59" s="10"/>
      <c r="D59" s="18"/>
      <c r="E59" s="10"/>
      <c r="F59" s="18"/>
      <c r="G59" s="10"/>
      <c r="H59" s="18">
        <v>2.13</v>
      </c>
      <c r="I59" s="10">
        <v>0.02</v>
      </c>
      <c r="J59" s="18"/>
      <c r="K59" s="10"/>
      <c r="L59" s="18"/>
      <c r="M59" s="10"/>
      <c r="N59" s="19">
        <v>2.13</v>
      </c>
      <c r="O59" s="13">
        <v>0.02</v>
      </c>
    </row>
    <row r="60">
      <c r="A60" s="7" t="s">
        <v>27</v>
      </c>
      <c r="B60" s="19"/>
      <c r="C60" s="14"/>
      <c r="D60" s="17">
        <v>2.6</v>
      </c>
      <c r="E60" s="7">
        <v>0.03</v>
      </c>
      <c r="F60" s="17">
        <v>37.85</v>
      </c>
      <c r="G60" s="7">
        <v>0.44</v>
      </c>
      <c r="H60" s="17">
        <v>30.25</v>
      </c>
      <c r="I60" s="7">
        <v>0.35</v>
      </c>
      <c r="J60" s="17">
        <v>12.67</v>
      </c>
      <c r="K60" s="7">
        <v>0.15</v>
      </c>
      <c r="L60" s="19"/>
      <c r="M60" s="14"/>
      <c r="N60" s="17">
        <v>83.37</v>
      </c>
      <c r="O60" s="9">
        <v>0.97</v>
      </c>
    </row>
    <row r="61">
      <c r="A61" s="10" t="s">
        <v>13</v>
      </c>
      <c r="B61" s="18"/>
      <c r="C61" s="10"/>
      <c r="D61" s="18"/>
      <c r="E61" s="10"/>
      <c r="F61" s="18">
        <v>7.51</v>
      </c>
      <c r="G61" s="10">
        <v>0.09</v>
      </c>
      <c r="H61" s="18">
        <v>7.56</v>
      </c>
      <c r="I61" s="10">
        <v>0.09</v>
      </c>
      <c r="J61" s="18"/>
      <c r="K61" s="10"/>
      <c r="L61" s="18"/>
      <c r="M61" s="10"/>
      <c r="N61" s="19">
        <v>15.07</v>
      </c>
      <c r="O61" s="13">
        <v>0.18</v>
      </c>
    </row>
    <row r="62">
      <c r="A62" s="10" t="s">
        <v>14</v>
      </c>
      <c r="B62" s="18"/>
      <c r="C62" s="10"/>
      <c r="D62" s="18"/>
      <c r="E62" s="10"/>
      <c r="F62" s="18">
        <v>15.12</v>
      </c>
      <c r="G62" s="10">
        <v>0.17</v>
      </c>
      <c r="H62" s="18">
        <v>5.05</v>
      </c>
      <c r="I62" s="10">
        <v>0.06</v>
      </c>
      <c r="J62" s="18">
        <v>7.53</v>
      </c>
      <c r="K62" s="10">
        <v>0.09</v>
      </c>
      <c r="L62" s="18"/>
      <c r="M62" s="10"/>
      <c r="N62" s="19">
        <v>27.7</v>
      </c>
      <c r="O62" s="13">
        <v>0.32</v>
      </c>
    </row>
    <row r="63">
      <c r="A63" s="10" t="s">
        <v>15</v>
      </c>
      <c r="B63" s="18"/>
      <c r="C63" s="10"/>
      <c r="D63" s="18">
        <v>2.6</v>
      </c>
      <c r="E63" s="10">
        <v>0.03</v>
      </c>
      <c r="F63" s="18">
        <v>7.53</v>
      </c>
      <c r="G63" s="10">
        <v>0.09</v>
      </c>
      <c r="H63" s="18">
        <v>2.51</v>
      </c>
      <c r="I63" s="10">
        <v>0.03</v>
      </c>
      <c r="J63" s="18">
        <v>5.14</v>
      </c>
      <c r="K63" s="10">
        <v>0.06</v>
      </c>
      <c r="L63" s="18"/>
      <c r="M63" s="10"/>
      <c r="N63" s="19">
        <v>17.78</v>
      </c>
      <c r="O63" s="13">
        <v>0.21</v>
      </c>
    </row>
    <row r="64">
      <c r="A64" s="10" t="s">
        <v>16</v>
      </c>
      <c r="B64" s="18"/>
      <c r="C64" s="10"/>
      <c r="D64" s="18"/>
      <c r="E64" s="10"/>
      <c r="F64" s="18">
        <v>5.19</v>
      </c>
      <c r="G64" s="10">
        <v>0.06</v>
      </c>
      <c r="H64" s="18">
        <v>12.61</v>
      </c>
      <c r="I64" s="10">
        <v>0.14</v>
      </c>
      <c r="J64" s="18"/>
      <c r="K64" s="10"/>
      <c r="L64" s="18"/>
      <c r="M64" s="10"/>
      <c r="N64" s="19">
        <v>17.8</v>
      </c>
      <c r="O64" s="13">
        <v>0.2</v>
      </c>
    </row>
    <row r="65">
      <c r="A65" s="10" t="s">
        <v>17</v>
      </c>
      <c r="B65" s="18"/>
      <c r="C65" s="10"/>
      <c r="D65" s="18"/>
      <c r="E65" s="10"/>
      <c r="F65" s="18">
        <v>2.5</v>
      </c>
      <c r="G65" s="10">
        <v>0.03</v>
      </c>
      <c r="H65" s="18">
        <v>2.52</v>
      </c>
      <c r="I65" s="10">
        <v>0.03</v>
      </c>
      <c r="J65" s="18"/>
      <c r="K65" s="10"/>
      <c r="L65" s="18"/>
      <c r="M65" s="10"/>
      <c r="N65" s="19">
        <v>5.02</v>
      </c>
      <c r="O65" s="13">
        <v>0.06</v>
      </c>
    </row>
    <row r="66">
      <c r="A66" s="7" t="s">
        <v>28</v>
      </c>
      <c r="B66" s="19"/>
      <c r="C66" s="14"/>
      <c r="D66" s="19"/>
      <c r="E66" s="14"/>
      <c r="F66" s="19"/>
      <c r="G66" s="14"/>
      <c r="H66" s="17">
        <v>8.81</v>
      </c>
      <c r="I66" s="7">
        <v>0.09</v>
      </c>
      <c r="J66" s="19"/>
      <c r="K66" s="14"/>
      <c r="L66" s="17">
        <v>2.61</v>
      </c>
      <c r="M66" s="7">
        <v>0.03</v>
      </c>
      <c r="N66" s="17">
        <v>11.42</v>
      </c>
      <c r="O66" s="9">
        <v>0.12</v>
      </c>
    </row>
    <row r="67">
      <c r="A67" s="10" t="s">
        <v>14</v>
      </c>
      <c r="B67" s="18"/>
      <c r="C67" s="10"/>
      <c r="D67" s="18"/>
      <c r="E67" s="10"/>
      <c r="F67" s="18"/>
      <c r="G67" s="10"/>
      <c r="H67" s="18">
        <v>2.92</v>
      </c>
      <c r="I67" s="10">
        <v>0.03</v>
      </c>
      <c r="J67" s="18"/>
      <c r="K67" s="10"/>
      <c r="L67" s="18">
        <v>2.61</v>
      </c>
      <c r="M67" s="10">
        <v>0.03</v>
      </c>
      <c r="N67" s="19">
        <v>5.53</v>
      </c>
      <c r="O67" s="13">
        <v>0.06</v>
      </c>
    </row>
    <row r="68">
      <c r="A68" s="10" t="s">
        <v>15</v>
      </c>
      <c r="B68" s="18"/>
      <c r="C68" s="10"/>
      <c r="D68" s="18"/>
      <c r="E68" s="10"/>
      <c r="F68" s="18"/>
      <c r="G68" s="10"/>
      <c r="H68" s="18">
        <v>2.92</v>
      </c>
      <c r="I68" s="10">
        <v>0.03</v>
      </c>
      <c r="J68" s="18"/>
      <c r="K68" s="10"/>
      <c r="L68" s="18"/>
      <c r="M68" s="10"/>
      <c r="N68" s="19">
        <v>2.92</v>
      </c>
      <c r="O68" s="13">
        <v>0.03</v>
      </c>
    </row>
    <row r="69">
      <c r="A69" s="10" t="s">
        <v>16</v>
      </c>
      <c r="B69" s="18"/>
      <c r="C69" s="10"/>
      <c r="D69" s="18"/>
      <c r="E69" s="10"/>
      <c r="F69" s="18"/>
      <c r="G69" s="10"/>
      <c r="H69" s="18">
        <v>2.97</v>
      </c>
      <c r="I69" s="10">
        <v>0.03</v>
      </c>
      <c r="J69" s="18"/>
      <c r="K69" s="10"/>
      <c r="L69" s="18"/>
      <c r="M69" s="10"/>
      <c r="N69" s="19">
        <v>2.97</v>
      </c>
      <c r="O69" s="13">
        <v>0.03</v>
      </c>
    </row>
    <row r="70">
      <c r="A70" s="7" t="s">
        <v>29</v>
      </c>
      <c r="B70" s="19"/>
      <c r="C70" s="14"/>
      <c r="D70" s="17">
        <v>3.02</v>
      </c>
      <c r="E70" s="7">
        <v>0.03</v>
      </c>
      <c r="F70" s="17">
        <v>51.77</v>
      </c>
      <c r="G70" s="7">
        <v>0.59</v>
      </c>
      <c r="H70" s="17">
        <v>54.85</v>
      </c>
      <c r="I70" s="7">
        <v>0.62</v>
      </c>
      <c r="J70" s="17">
        <v>51.8</v>
      </c>
      <c r="K70" s="7">
        <v>0.59</v>
      </c>
      <c r="L70" s="17">
        <v>3.01</v>
      </c>
      <c r="M70" s="7">
        <v>0.03</v>
      </c>
      <c r="N70" s="17">
        <v>164.45</v>
      </c>
      <c r="O70" s="9">
        <v>1.86</v>
      </c>
    </row>
    <row r="71">
      <c r="A71" s="10" t="s">
        <v>13</v>
      </c>
      <c r="B71" s="18"/>
      <c r="C71" s="10"/>
      <c r="D71" s="18"/>
      <c r="E71" s="10"/>
      <c r="F71" s="18"/>
      <c r="G71" s="10"/>
      <c r="H71" s="18">
        <v>3.05</v>
      </c>
      <c r="I71" s="10">
        <v>0.03</v>
      </c>
      <c r="J71" s="18">
        <v>3</v>
      </c>
      <c r="K71" s="10">
        <v>0.03</v>
      </c>
      <c r="L71" s="18">
        <v>3.01</v>
      </c>
      <c r="M71" s="10">
        <v>0.03</v>
      </c>
      <c r="N71" s="19">
        <v>9.06</v>
      </c>
      <c r="O71" s="13">
        <v>0.09</v>
      </c>
    </row>
    <row r="72">
      <c r="A72" s="10" t="s">
        <v>14</v>
      </c>
      <c r="B72" s="18"/>
      <c r="C72" s="10"/>
      <c r="D72" s="18"/>
      <c r="E72" s="10"/>
      <c r="F72" s="18">
        <v>12.13</v>
      </c>
      <c r="G72" s="10">
        <v>0.14</v>
      </c>
      <c r="H72" s="18">
        <v>9.23</v>
      </c>
      <c r="I72" s="10">
        <v>0.11</v>
      </c>
      <c r="J72" s="18">
        <v>24.47</v>
      </c>
      <c r="K72" s="10">
        <v>0.28</v>
      </c>
      <c r="L72" s="18"/>
      <c r="M72" s="10"/>
      <c r="N72" s="19">
        <v>45.83</v>
      </c>
      <c r="O72" s="13">
        <v>0.53</v>
      </c>
    </row>
    <row r="73">
      <c r="A73" s="10" t="s">
        <v>15</v>
      </c>
      <c r="B73" s="18"/>
      <c r="C73" s="10"/>
      <c r="D73" s="18">
        <v>3.02</v>
      </c>
      <c r="E73" s="10">
        <v>0.03</v>
      </c>
      <c r="F73" s="18">
        <v>27.47</v>
      </c>
      <c r="G73" s="10">
        <v>0.31</v>
      </c>
      <c r="H73" s="18">
        <v>33.49</v>
      </c>
      <c r="I73" s="10">
        <v>0.38</v>
      </c>
      <c r="J73" s="18">
        <v>6.07</v>
      </c>
      <c r="K73" s="10">
        <v>0.07</v>
      </c>
      <c r="L73" s="18"/>
      <c r="M73" s="10"/>
      <c r="N73" s="19">
        <v>70.05</v>
      </c>
      <c r="O73" s="13">
        <v>0.79</v>
      </c>
    </row>
    <row r="74">
      <c r="A74" s="10" t="s">
        <v>16</v>
      </c>
      <c r="B74" s="18"/>
      <c r="C74" s="10"/>
      <c r="D74" s="18"/>
      <c r="E74" s="10"/>
      <c r="F74" s="18">
        <v>12.17</v>
      </c>
      <c r="G74" s="10">
        <v>0.14</v>
      </c>
      <c r="H74" s="18">
        <v>6.08</v>
      </c>
      <c r="I74" s="10">
        <v>0.07</v>
      </c>
      <c r="J74" s="18">
        <v>18.26</v>
      </c>
      <c r="K74" s="10">
        <v>0.21</v>
      </c>
      <c r="L74" s="18"/>
      <c r="M74" s="10"/>
      <c r="N74" s="19">
        <v>36.51</v>
      </c>
      <c r="O74" s="13">
        <v>0.42</v>
      </c>
    </row>
    <row r="75">
      <c r="A75" s="10" t="s">
        <v>17</v>
      </c>
      <c r="B75" s="18"/>
      <c r="C75" s="10"/>
      <c r="D75" s="18"/>
      <c r="E75" s="10"/>
      <c r="F75" s="18"/>
      <c r="G75" s="10"/>
      <c r="H75" s="18">
        <v>3</v>
      </c>
      <c r="I75" s="10">
        <v>0.03</v>
      </c>
      <c r="J75" s="18"/>
      <c r="K75" s="10"/>
      <c r="L75" s="18"/>
      <c r="M75" s="10"/>
      <c r="N75" s="19">
        <v>3</v>
      </c>
      <c r="O75" s="13">
        <v>0.03</v>
      </c>
    </row>
    <row r="76">
      <c r="A76" s="7" t="s">
        <v>30</v>
      </c>
      <c r="B76" s="19"/>
      <c r="C76" s="14"/>
      <c r="D76" s="19"/>
      <c r="E76" s="14"/>
      <c r="F76" s="17">
        <v>6.22</v>
      </c>
      <c r="G76" s="7">
        <v>0.07</v>
      </c>
      <c r="H76" s="17">
        <v>12.6</v>
      </c>
      <c r="I76" s="7">
        <v>0.15</v>
      </c>
      <c r="J76" s="19"/>
      <c r="K76" s="14"/>
      <c r="L76" s="19"/>
      <c r="M76" s="14"/>
      <c r="N76" s="17">
        <v>18.82</v>
      </c>
      <c r="O76" s="9">
        <v>0.22</v>
      </c>
    </row>
    <row r="77">
      <c r="A77" s="10" t="s">
        <v>15</v>
      </c>
      <c r="B77" s="18"/>
      <c r="C77" s="10"/>
      <c r="D77" s="18"/>
      <c r="E77" s="10"/>
      <c r="F77" s="18"/>
      <c r="G77" s="10"/>
      <c r="H77" s="18">
        <v>9.49</v>
      </c>
      <c r="I77" s="10">
        <v>0.11</v>
      </c>
      <c r="J77" s="18"/>
      <c r="K77" s="10"/>
      <c r="L77" s="18"/>
      <c r="M77" s="10"/>
      <c r="N77" s="19">
        <v>9.49</v>
      </c>
      <c r="O77" s="13">
        <v>0.11</v>
      </c>
    </row>
    <row r="78">
      <c r="A78" s="10" t="s">
        <v>16</v>
      </c>
      <c r="B78" s="18"/>
      <c r="C78" s="10"/>
      <c r="D78" s="18"/>
      <c r="E78" s="10"/>
      <c r="F78" s="18">
        <v>6.22</v>
      </c>
      <c r="G78" s="10">
        <v>0.07</v>
      </c>
      <c r="H78" s="18">
        <v>3.11</v>
      </c>
      <c r="I78" s="10">
        <v>0.04</v>
      </c>
      <c r="J78" s="18"/>
      <c r="K78" s="10"/>
      <c r="L78" s="18"/>
      <c r="M78" s="10"/>
      <c r="N78" s="19">
        <v>9.33</v>
      </c>
      <c r="O78" s="13">
        <v>0.11</v>
      </c>
    </row>
    <row r="79">
      <c r="A79" s="7" t="s">
        <v>31</v>
      </c>
      <c r="B79" s="19"/>
      <c r="C79" s="14"/>
      <c r="D79" s="17">
        <v>3.55</v>
      </c>
      <c r="E79" s="7">
        <v>0.04</v>
      </c>
      <c r="F79" s="17">
        <v>14.16</v>
      </c>
      <c r="G79" s="7">
        <v>0.16</v>
      </c>
      <c r="H79" s="17">
        <v>24.84</v>
      </c>
      <c r="I79" s="7">
        <v>0.28</v>
      </c>
      <c r="J79" s="17">
        <v>10.61</v>
      </c>
      <c r="K79" s="7">
        <v>0.12</v>
      </c>
      <c r="L79" s="17">
        <v>7.07</v>
      </c>
      <c r="M79" s="7">
        <v>0.08</v>
      </c>
      <c r="N79" s="17">
        <v>60.23</v>
      </c>
      <c r="O79" s="9">
        <v>0.68</v>
      </c>
    </row>
    <row r="80">
      <c r="A80" s="10" t="s">
        <v>13</v>
      </c>
      <c r="B80" s="18"/>
      <c r="C80" s="10"/>
      <c r="D80" s="18"/>
      <c r="E80" s="10"/>
      <c r="F80" s="18">
        <v>3.51</v>
      </c>
      <c r="G80" s="10">
        <v>0.04</v>
      </c>
      <c r="H80" s="18">
        <v>3.53</v>
      </c>
      <c r="I80" s="10">
        <v>0.04</v>
      </c>
      <c r="J80" s="18"/>
      <c r="K80" s="10"/>
      <c r="L80" s="18"/>
      <c r="M80" s="10"/>
      <c r="N80" s="19">
        <v>7.04</v>
      </c>
      <c r="O80" s="13">
        <v>0.08</v>
      </c>
    </row>
    <row r="81">
      <c r="A81" s="10" t="s">
        <v>14</v>
      </c>
      <c r="B81" s="18"/>
      <c r="C81" s="10"/>
      <c r="D81" s="18"/>
      <c r="E81" s="10"/>
      <c r="F81" s="18">
        <v>3.53</v>
      </c>
      <c r="G81" s="10">
        <v>0.04</v>
      </c>
      <c r="H81" s="18">
        <v>14.21</v>
      </c>
      <c r="I81" s="10">
        <v>0.16</v>
      </c>
      <c r="J81" s="18">
        <v>3.54</v>
      </c>
      <c r="K81" s="10">
        <v>0.04</v>
      </c>
      <c r="L81" s="18"/>
      <c r="M81" s="10"/>
      <c r="N81" s="19">
        <v>21.28</v>
      </c>
      <c r="O81" s="13">
        <v>0.24</v>
      </c>
    </row>
    <row r="82">
      <c r="A82" s="10" t="s">
        <v>15</v>
      </c>
      <c r="B82" s="18"/>
      <c r="C82" s="10"/>
      <c r="D82" s="18">
        <v>3.55</v>
      </c>
      <c r="E82" s="10">
        <v>0.04</v>
      </c>
      <c r="F82" s="18">
        <v>7.12</v>
      </c>
      <c r="G82" s="10">
        <v>0.08</v>
      </c>
      <c r="H82" s="18">
        <v>3.54</v>
      </c>
      <c r="I82" s="10">
        <v>0.04</v>
      </c>
      <c r="J82" s="18">
        <v>3.55</v>
      </c>
      <c r="K82" s="10">
        <v>0.04</v>
      </c>
      <c r="L82" s="18">
        <v>7.07</v>
      </c>
      <c r="M82" s="10">
        <v>0.08</v>
      </c>
      <c r="N82" s="19">
        <v>24.83</v>
      </c>
      <c r="O82" s="13">
        <v>0.28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3.56</v>
      </c>
      <c r="I83" s="10">
        <v>0.04</v>
      </c>
      <c r="J83" s="18">
        <v>3.52</v>
      </c>
      <c r="K83" s="10">
        <v>0.04</v>
      </c>
      <c r="L83" s="18"/>
      <c r="M83" s="10"/>
      <c r="N83" s="19">
        <v>7.08</v>
      </c>
      <c r="O83" s="13">
        <v>0.08</v>
      </c>
    </row>
    <row r="84">
      <c r="A84" s="7" t="s">
        <v>32</v>
      </c>
      <c r="B84" s="19"/>
      <c r="C84" s="14"/>
      <c r="D84" s="19"/>
      <c r="E84" s="14"/>
      <c r="F84" s="17">
        <v>12.22</v>
      </c>
      <c r="G84" s="7">
        <v>0.14</v>
      </c>
      <c r="H84" s="17">
        <v>12.1</v>
      </c>
      <c r="I84" s="7">
        <v>0.15</v>
      </c>
      <c r="J84" s="17">
        <v>12.11</v>
      </c>
      <c r="K84" s="7">
        <v>0.14</v>
      </c>
      <c r="L84" s="17">
        <v>12.22</v>
      </c>
      <c r="M84" s="7">
        <v>0.14</v>
      </c>
      <c r="N84" s="17">
        <v>48.65</v>
      </c>
      <c r="O84" s="9">
        <v>0.57</v>
      </c>
    </row>
    <row r="85">
      <c r="A85" s="10" t="s">
        <v>13</v>
      </c>
      <c r="B85" s="18"/>
      <c r="C85" s="10"/>
      <c r="D85" s="18"/>
      <c r="E85" s="10"/>
      <c r="F85" s="18"/>
      <c r="G85" s="10"/>
      <c r="H85" s="18"/>
      <c r="I85" s="10"/>
      <c r="J85" s="18"/>
      <c r="K85" s="10"/>
      <c r="L85" s="18">
        <v>8.15</v>
      </c>
      <c r="M85" s="10">
        <v>0.09</v>
      </c>
      <c r="N85" s="19">
        <v>8.15</v>
      </c>
      <c r="O85" s="13">
        <v>0.09</v>
      </c>
    </row>
    <row r="86">
      <c r="A86" s="10" t="s">
        <v>14</v>
      </c>
      <c r="B86" s="18"/>
      <c r="C86" s="10"/>
      <c r="D86" s="18"/>
      <c r="E86" s="10"/>
      <c r="F86" s="18">
        <v>4.1</v>
      </c>
      <c r="G86" s="10">
        <v>0.05</v>
      </c>
      <c r="H86" s="18">
        <v>4</v>
      </c>
      <c r="I86" s="10">
        <v>0.05</v>
      </c>
      <c r="J86" s="18">
        <v>4.01</v>
      </c>
      <c r="K86" s="10">
        <v>0.05</v>
      </c>
      <c r="L86" s="18">
        <v>4.07</v>
      </c>
      <c r="M86" s="10">
        <v>0.05</v>
      </c>
      <c r="N86" s="19">
        <v>16.18</v>
      </c>
      <c r="O86" s="13">
        <v>0.2</v>
      </c>
    </row>
    <row r="87">
      <c r="A87" s="10" t="s">
        <v>15</v>
      </c>
      <c r="B87" s="18"/>
      <c r="C87" s="10"/>
      <c r="D87" s="18"/>
      <c r="E87" s="10"/>
      <c r="F87" s="18">
        <v>8.12</v>
      </c>
      <c r="G87" s="10">
        <v>0.09</v>
      </c>
      <c r="H87" s="18">
        <v>4.05</v>
      </c>
      <c r="I87" s="10">
        <v>0.05</v>
      </c>
      <c r="J87" s="18">
        <v>8.1</v>
      </c>
      <c r="K87" s="10">
        <v>0.09</v>
      </c>
      <c r="L87" s="18"/>
      <c r="M87" s="10"/>
      <c r="N87" s="19">
        <v>20.27</v>
      </c>
      <c r="O87" s="13">
        <v>0.23</v>
      </c>
    </row>
    <row r="88">
      <c r="A88" s="10" t="s">
        <v>16</v>
      </c>
      <c r="B88" s="18"/>
      <c r="C88" s="10"/>
      <c r="D88" s="18"/>
      <c r="E88" s="10"/>
      <c r="F88" s="18"/>
      <c r="G88" s="10"/>
      <c r="H88" s="18">
        <v>4.05</v>
      </c>
      <c r="I88" s="10">
        <v>0.05</v>
      </c>
      <c r="J88" s="18"/>
      <c r="K88" s="10"/>
      <c r="L88" s="18"/>
      <c r="M88" s="10"/>
      <c r="N88" s="19">
        <v>4.05</v>
      </c>
      <c r="O88" s="13">
        <v>0.05</v>
      </c>
    </row>
    <row r="89">
      <c r="A89" s="7" t="s">
        <v>33</v>
      </c>
      <c r="B89" s="19"/>
      <c r="C89" s="14"/>
      <c r="D89" s="19"/>
      <c r="E89" s="14"/>
      <c r="F89" s="17">
        <v>8.28</v>
      </c>
      <c r="G89" s="7">
        <v>0.1</v>
      </c>
      <c r="H89" s="19"/>
      <c r="I89" s="14"/>
      <c r="J89" s="17">
        <v>4.13</v>
      </c>
      <c r="K89" s="7">
        <v>0.05</v>
      </c>
      <c r="L89" s="19"/>
      <c r="M89" s="14"/>
      <c r="N89" s="17">
        <v>12.41</v>
      </c>
      <c r="O89" s="9">
        <v>0.15</v>
      </c>
    </row>
    <row r="90">
      <c r="A90" s="10" t="s">
        <v>15</v>
      </c>
      <c r="B90" s="18"/>
      <c r="C90" s="10"/>
      <c r="D90" s="18"/>
      <c r="E90" s="10"/>
      <c r="F90" s="18">
        <v>4.15</v>
      </c>
      <c r="G90" s="10">
        <v>0.05</v>
      </c>
      <c r="H90" s="18"/>
      <c r="I90" s="10"/>
      <c r="J90" s="18"/>
      <c r="K90" s="10"/>
      <c r="L90" s="18"/>
      <c r="M90" s="10"/>
      <c r="N90" s="19">
        <v>4.15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>
        <v>4.13</v>
      </c>
      <c r="G91" s="10">
        <v>0.05</v>
      </c>
      <c r="H91" s="18"/>
      <c r="I91" s="10"/>
      <c r="J91" s="18">
        <v>4.13</v>
      </c>
      <c r="K91" s="10">
        <v>0.05</v>
      </c>
      <c r="L91" s="18"/>
      <c r="M91" s="10"/>
      <c r="N91" s="19">
        <v>8.26</v>
      </c>
      <c r="O91" s="13">
        <v>0.1</v>
      </c>
    </row>
    <row r="92">
      <c r="A92" s="7" t="s">
        <v>34</v>
      </c>
      <c r="B92" s="19"/>
      <c r="C92" s="14"/>
      <c r="D92" s="19"/>
      <c r="E92" s="14"/>
      <c r="F92" s="17">
        <v>4.62</v>
      </c>
      <c r="G92" s="7">
        <v>0.05</v>
      </c>
      <c r="H92" s="19"/>
      <c r="I92" s="14"/>
      <c r="J92" s="17">
        <v>19.04</v>
      </c>
      <c r="K92" s="7">
        <v>0.21</v>
      </c>
      <c r="L92" s="19"/>
      <c r="M92" s="14"/>
      <c r="N92" s="17">
        <v>23.66</v>
      </c>
      <c r="O92" s="9">
        <v>0.26</v>
      </c>
    </row>
    <row r="93">
      <c r="A93" s="10" t="s">
        <v>14</v>
      </c>
      <c r="B93" s="18"/>
      <c r="C93" s="10"/>
      <c r="D93" s="18"/>
      <c r="E93" s="10"/>
      <c r="F93" s="18"/>
      <c r="G93" s="10"/>
      <c r="H93" s="18"/>
      <c r="I93" s="10"/>
      <c r="J93" s="18">
        <v>4.58</v>
      </c>
      <c r="K93" s="10">
        <v>0.05</v>
      </c>
      <c r="L93" s="18"/>
      <c r="M93" s="10"/>
      <c r="N93" s="19">
        <v>4.58</v>
      </c>
      <c r="O93" s="13">
        <v>0.05</v>
      </c>
    </row>
    <row r="94">
      <c r="A94" s="10" t="s">
        <v>16</v>
      </c>
      <c r="B94" s="18"/>
      <c r="C94" s="10"/>
      <c r="D94" s="18"/>
      <c r="E94" s="10"/>
      <c r="F94" s="18">
        <v>4.62</v>
      </c>
      <c r="G94" s="10">
        <v>0.05</v>
      </c>
      <c r="H94" s="18"/>
      <c r="I94" s="10"/>
      <c r="J94" s="18">
        <v>14.46</v>
      </c>
      <c r="K94" s="10">
        <v>0.16</v>
      </c>
      <c r="L94" s="18"/>
      <c r="M94" s="10"/>
      <c r="N94" s="19">
        <v>19.08</v>
      </c>
      <c r="O94" s="13">
        <v>0.21</v>
      </c>
    </row>
    <row r="95">
      <c r="A95" s="7" t="s">
        <v>35</v>
      </c>
      <c r="B95" s="19"/>
      <c r="C95" s="14"/>
      <c r="D95" s="19"/>
      <c r="E95" s="14"/>
      <c r="F95" s="17">
        <v>35.28</v>
      </c>
      <c r="G95" s="7">
        <v>0.4</v>
      </c>
      <c r="H95" s="17">
        <v>156.85</v>
      </c>
      <c r="I95" s="7">
        <v>1.79</v>
      </c>
      <c r="J95" s="17">
        <v>30.16</v>
      </c>
      <c r="K95" s="7">
        <v>0.34</v>
      </c>
      <c r="L95" s="17">
        <v>5.03</v>
      </c>
      <c r="M95" s="7">
        <v>0.06</v>
      </c>
      <c r="N95" s="17">
        <v>227.32</v>
      </c>
      <c r="O95" s="9">
        <v>2.59</v>
      </c>
    </row>
    <row r="96">
      <c r="A96" s="10" t="s">
        <v>14</v>
      </c>
      <c r="B96" s="18"/>
      <c r="C96" s="10"/>
      <c r="D96" s="18"/>
      <c r="E96" s="10"/>
      <c r="F96" s="18">
        <v>10.03</v>
      </c>
      <c r="G96" s="10">
        <v>0.11</v>
      </c>
      <c r="H96" s="18">
        <v>106.36</v>
      </c>
      <c r="I96" s="10">
        <v>1.21</v>
      </c>
      <c r="J96" s="18"/>
      <c r="K96" s="10"/>
      <c r="L96" s="18"/>
      <c r="M96" s="10"/>
      <c r="N96" s="19">
        <v>116.39</v>
      </c>
      <c r="O96" s="13">
        <v>1.32</v>
      </c>
    </row>
    <row r="97">
      <c r="A97" s="10" t="s">
        <v>15</v>
      </c>
      <c r="B97" s="18"/>
      <c r="C97" s="10"/>
      <c r="D97" s="18"/>
      <c r="E97" s="10"/>
      <c r="F97" s="18">
        <v>15.14</v>
      </c>
      <c r="G97" s="10">
        <v>0.17</v>
      </c>
      <c r="H97" s="18">
        <v>45.44</v>
      </c>
      <c r="I97" s="10">
        <v>0.52</v>
      </c>
      <c r="J97" s="18">
        <v>15.05</v>
      </c>
      <c r="K97" s="10">
        <v>0.17</v>
      </c>
      <c r="L97" s="18">
        <v>5.03</v>
      </c>
      <c r="M97" s="10">
        <v>0.06</v>
      </c>
      <c r="N97" s="19">
        <v>80.66</v>
      </c>
      <c r="O97" s="13">
        <v>0.92</v>
      </c>
    </row>
    <row r="98">
      <c r="A98" s="10" t="s">
        <v>16</v>
      </c>
      <c r="B98" s="18"/>
      <c r="C98" s="10"/>
      <c r="D98" s="18"/>
      <c r="E98" s="10"/>
      <c r="F98" s="18">
        <v>10.11</v>
      </c>
      <c r="G98" s="10">
        <v>0.12</v>
      </c>
      <c r="H98" s="18">
        <v>5.05</v>
      </c>
      <c r="I98" s="10">
        <v>0.06</v>
      </c>
      <c r="J98" s="18">
        <v>10.09</v>
      </c>
      <c r="K98" s="10">
        <v>0.11</v>
      </c>
      <c r="L98" s="18"/>
      <c r="M98" s="10"/>
      <c r="N98" s="19">
        <v>25.25</v>
      </c>
      <c r="O98" s="13">
        <v>0.29</v>
      </c>
    </row>
    <row r="99">
      <c r="A99" s="10" t="s">
        <v>17</v>
      </c>
      <c r="B99" s="18"/>
      <c r="C99" s="10"/>
      <c r="D99" s="18"/>
      <c r="E99" s="10"/>
      <c r="F99" s="18"/>
      <c r="G99" s="10"/>
      <c r="H99" s="18"/>
      <c r="I99" s="10"/>
      <c r="J99" s="18">
        <v>5.02</v>
      </c>
      <c r="K99" s="10">
        <v>0.06</v>
      </c>
      <c r="L99" s="18"/>
      <c r="M99" s="10"/>
      <c r="N99" s="19">
        <v>5.02</v>
      </c>
      <c r="O99" s="13">
        <v>0.06</v>
      </c>
    </row>
    <row r="100">
      <c r="A100" s="7" t="s">
        <v>36</v>
      </c>
      <c r="B100" s="19"/>
      <c r="C100" s="14"/>
      <c r="D100" s="19"/>
      <c r="E100" s="14"/>
      <c r="F100" s="17">
        <v>5.28</v>
      </c>
      <c r="G100" s="7">
        <v>0.06</v>
      </c>
      <c r="H100" s="17">
        <v>5.22</v>
      </c>
      <c r="I100" s="7">
        <v>0.06</v>
      </c>
      <c r="J100" s="17">
        <v>10.76</v>
      </c>
      <c r="K100" s="7">
        <v>0.12</v>
      </c>
      <c r="L100" s="17">
        <v>5.13</v>
      </c>
      <c r="M100" s="7">
        <v>0.06</v>
      </c>
      <c r="N100" s="17">
        <v>26.39</v>
      </c>
      <c r="O100" s="9">
        <v>0.3</v>
      </c>
    </row>
    <row r="101">
      <c r="A101" s="10" t="s">
        <v>14</v>
      </c>
      <c r="B101" s="18"/>
      <c r="C101" s="10"/>
      <c r="D101" s="18"/>
      <c r="E101" s="10"/>
      <c r="F101" s="18"/>
      <c r="G101" s="10"/>
      <c r="H101" s="18"/>
      <c r="I101" s="10"/>
      <c r="J101" s="18">
        <v>5.64</v>
      </c>
      <c r="K101" s="10">
        <v>0.06</v>
      </c>
      <c r="L101" s="18"/>
      <c r="M101" s="10"/>
      <c r="N101" s="19">
        <v>5.64</v>
      </c>
      <c r="O101" s="13">
        <v>0.06</v>
      </c>
    </row>
    <row r="102">
      <c r="A102" s="10" t="s">
        <v>15</v>
      </c>
      <c r="B102" s="18"/>
      <c r="C102" s="10"/>
      <c r="D102" s="18"/>
      <c r="E102" s="10"/>
      <c r="F102" s="18"/>
      <c r="G102" s="10"/>
      <c r="H102" s="18">
        <v>5.22</v>
      </c>
      <c r="I102" s="10">
        <v>0.06</v>
      </c>
      <c r="J102" s="18">
        <v>5.12</v>
      </c>
      <c r="K102" s="10">
        <v>0.06</v>
      </c>
      <c r="L102" s="18">
        <v>5.13</v>
      </c>
      <c r="M102" s="10">
        <v>0.06</v>
      </c>
      <c r="N102" s="19">
        <v>15.47</v>
      </c>
      <c r="O102" s="13">
        <v>0.18</v>
      </c>
    </row>
    <row r="103">
      <c r="A103" s="10" t="s">
        <v>16</v>
      </c>
      <c r="B103" s="18"/>
      <c r="C103" s="10"/>
      <c r="D103" s="18"/>
      <c r="E103" s="10"/>
      <c r="F103" s="18">
        <v>5.28</v>
      </c>
      <c r="G103" s="10">
        <v>0.06</v>
      </c>
      <c r="H103" s="18"/>
      <c r="I103" s="10"/>
      <c r="J103" s="18"/>
      <c r="K103" s="10"/>
      <c r="L103" s="18"/>
      <c r="M103" s="10"/>
      <c r="N103" s="19">
        <v>5.28</v>
      </c>
      <c r="O103" s="13">
        <v>0.06</v>
      </c>
    </row>
    <row r="104">
      <c r="A104" s="7" t="s">
        <v>37</v>
      </c>
      <c r="B104" s="19"/>
      <c r="C104" s="14"/>
      <c r="D104" s="19"/>
      <c r="E104" s="14"/>
      <c r="F104" s="19"/>
      <c r="G104" s="14"/>
      <c r="H104" s="17">
        <v>12.25</v>
      </c>
      <c r="I104" s="7">
        <v>0.14</v>
      </c>
      <c r="J104" s="17">
        <v>6.05</v>
      </c>
      <c r="K104" s="7">
        <v>0.07</v>
      </c>
      <c r="L104" s="17">
        <v>6.86</v>
      </c>
      <c r="M104" s="7">
        <v>0.08</v>
      </c>
      <c r="N104" s="17">
        <v>25.16</v>
      </c>
      <c r="O104" s="9">
        <v>0.29</v>
      </c>
    </row>
    <row r="105">
      <c r="A105" s="10" t="s">
        <v>14</v>
      </c>
      <c r="B105" s="18"/>
      <c r="C105" s="10"/>
      <c r="D105" s="18"/>
      <c r="E105" s="10"/>
      <c r="F105" s="18"/>
      <c r="G105" s="10"/>
      <c r="H105" s="18">
        <v>6.22</v>
      </c>
      <c r="I105" s="10">
        <v>0.07</v>
      </c>
      <c r="J105" s="18"/>
      <c r="K105" s="10"/>
      <c r="L105" s="18">
        <v>6.86</v>
      </c>
      <c r="M105" s="10">
        <v>0.08</v>
      </c>
      <c r="N105" s="19">
        <v>13.08</v>
      </c>
      <c r="O105" s="13">
        <v>0.15</v>
      </c>
    </row>
    <row r="106">
      <c r="A106" s="10" t="s">
        <v>15</v>
      </c>
      <c r="B106" s="18"/>
      <c r="C106" s="10"/>
      <c r="D106" s="18"/>
      <c r="E106" s="10"/>
      <c r="F106" s="18"/>
      <c r="G106" s="10"/>
      <c r="H106" s="18">
        <v>6.03</v>
      </c>
      <c r="I106" s="10">
        <v>0.07</v>
      </c>
      <c r="J106" s="18"/>
      <c r="K106" s="10"/>
      <c r="L106" s="18"/>
      <c r="M106" s="10"/>
      <c r="N106" s="19">
        <v>6.03</v>
      </c>
      <c r="O106" s="13">
        <v>0.07</v>
      </c>
    </row>
    <row r="107">
      <c r="A107" s="10" t="s">
        <v>16</v>
      </c>
      <c r="B107" s="18"/>
      <c r="C107" s="10"/>
      <c r="D107" s="18"/>
      <c r="E107" s="10"/>
      <c r="F107" s="18"/>
      <c r="G107" s="10"/>
      <c r="H107" s="18"/>
      <c r="I107" s="10"/>
      <c r="J107" s="18">
        <v>6.05</v>
      </c>
      <c r="K107" s="10">
        <v>0.07</v>
      </c>
      <c r="L107" s="18"/>
      <c r="M107" s="10"/>
      <c r="N107" s="19">
        <v>6.05</v>
      </c>
      <c r="O107" s="13">
        <v>0.07</v>
      </c>
    </row>
    <row r="108">
      <c r="A108" s="7" t="s">
        <v>38</v>
      </c>
      <c r="B108" s="19"/>
      <c r="C108" s="14"/>
      <c r="D108" s="19"/>
      <c r="E108" s="14"/>
      <c r="F108" s="19"/>
      <c r="G108" s="14"/>
      <c r="H108" s="19"/>
      <c r="I108" s="14"/>
      <c r="J108" s="17">
        <v>7.55</v>
      </c>
      <c r="K108" s="7">
        <v>0.09</v>
      </c>
      <c r="L108" s="19"/>
      <c r="M108" s="14"/>
      <c r="N108" s="17">
        <v>7.55</v>
      </c>
      <c r="O108" s="9">
        <v>0.09</v>
      </c>
    </row>
    <row r="109">
      <c r="A109" s="10" t="s">
        <v>15</v>
      </c>
      <c r="B109" s="18"/>
      <c r="C109" s="10"/>
      <c r="D109" s="18"/>
      <c r="E109" s="10"/>
      <c r="F109" s="18"/>
      <c r="G109" s="10"/>
      <c r="H109" s="18"/>
      <c r="I109" s="10"/>
      <c r="J109" s="18">
        <v>7.55</v>
      </c>
      <c r="K109" s="10">
        <v>0.09</v>
      </c>
      <c r="L109" s="18"/>
      <c r="M109" s="10"/>
      <c r="N109" s="19">
        <v>7.55</v>
      </c>
      <c r="O109" s="13">
        <v>0.09</v>
      </c>
    </row>
    <row r="110">
      <c r="A110" s="15" t="s">
        <v>11</v>
      </c>
      <c r="B110" s="20">
        <v>79.01</v>
      </c>
      <c r="C110" s="15">
        <v>0.9</v>
      </c>
      <c r="D110" s="20">
        <v>2002.693</v>
      </c>
      <c r="E110" s="15">
        <v>22.8</v>
      </c>
      <c r="F110" s="20">
        <v>3669.712</v>
      </c>
      <c r="G110" s="15">
        <v>41.84</v>
      </c>
      <c r="H110" s="20">
        <v>1642.79</v>
      </c>
      <c r="I110" s="15">
        <v>18.72</v>
      </c>
      <c r="J110" s="20">
        <v>667.97</v>
      </c>
      <c r="K110" s="15">
        <v>7.62</v>
      </c>
      <c r="L110" s="20">
        <v>78.54</v>
      </c>
      <c r="M110" s="15">
        <v>0.88</v>
      </c>
      <c r="N110" s="20">
        <v>8140.715</v>
      </c>
      <c r="O110" s="15">
        <v>93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0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41</v>
      </c>
      <c r="B1" s="2" t="s">
        <v>41</v>
      </c>
      <c r="C1" s="2" t="s">
        <v>41</v>
      </c>
      <c r="D1" s="2" t="s">
        <v>41</v>
      </c>
      <c r="E1" s="2" t="s">
        <v>41</v>
      </c>
      <c r="F1" s="2" t="s">
        <v>41</v>
      </c>
      <c r="G1" s="2" t="s">
        <v>41</v>
      </c>
      <c r="H1" s="2" t="s">
        <v>41</v>
      </c>
      <c r="I1" s="2" t="s">
        <v>41</v>
      </c>
      <c r="J1" s="2" t="s">
        <v>41</v>
      </c>
      <c r="K1" s="2" t="s">
        <v>41</v>
      </c>
      <c r="L1" s="2" t="s">
        <v>41</v>
      </c>
      <c r="M1" s="2" t="s">
        <v>41</v>
      </c>
      <c r="N1" s="2" t="s">
        <v>41</v>
      </c>
      <c r="O1" s="2" t="s">
        <v>41</v>
      </c>
    </row>
    <row r="2">
      <c r="A2" s="3" t="s">
        <v>1</v>
      </c>
      <c r="B2" s="4" t="s">
        <v>42</v>
      </c>
      <c r="C2" s="4" t="s">
        <v>3</v>
      </c>
      <c r="D2" s="4" t="s">
        <v>42</v>
      </c>
      <c r="E2" s="4" t="s">
        <v>3</v>
      </c>
      <c r="F2" s="4" t="s">
        <v>42</v>
      </c>
      <c r="G2" s="4" t="s">
        <v>3</v>
      </c>
      <c r="H2" s="4" t="s">
        <v>42</v>
      </c>
      <c r="I2" s="4" t="s">
        <v>3</v>
      </c>
      <c r="J2" s="4" t="s">
        <v>42</v>
      </c>
      <c r="K2" s="4" t="s">
        <v>3</v>
      </c>
      <c r="L2" s="4" t="s">
        <v>42</v>
      </c>
      <c r="M2" s="4" t="s">
        <v>3</v>
      </c>
      <c r="N2" s="4" t="s">
        <v>42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0.95</v>
      </c>
      <c r="D4" s="17">
        <v>94988.72</v>
      </c>
      <c r="E4" s="7">
        <v>11.13</v>
      </c>
      <c r="F4" s="17">
        <v>126617.75</v>
      </c>
      <c r="G4" s="7">
        <v>14.83</v>
      </c>
      <c r="H4" s="17">
        <v>32606.64</v>
      </c>
      <c r="I4" s="7">
        <v>3.82</v>
      </c>
      <c r="J4" s="17">
        <v>21280.79</v>
      </c>
      <c r="K4" s="7">
        <v>2.5</v>
      </c>
      <c r="L4" s="17">
        <v>1241.95</v>
      </c>
      <c r="M4" s="7">
        <v>0.14</v>
      </c>
      <c r="N4" s="17">
        <v>284805.17</v>
      </c>
      <c r="O4" s="9">
        <v>33.37</v>
      </c>
    </row>
    <row r="5">
      <c r="A5" s="10" t="s">
        <v>13</v>
      </c>
      <c r="B5" s="18">
        <v>2292.83</v>
      </c>
      <c r="C5" s="10">
        <v>0.27</v>
      </c>
      <c r="D5" s="18">
        <v>26868.8</v>
      </c>
      <c r="E5" s="10">
        <v>3.15</v>
      </c>
      <c r="F5" s="18">
        <v>59974.09</v>
      </c>
      <c r="G5" s="10">
        <v>7.02</v>
      </c>
      <c r="H5" s="18">
        <v>10259.61</v>
      </c>
      <c r="I5" s="10">
        <v>1.2</v>
      </c>
      <c r="J5" s="18">
        <v>5021.15</v>
      </c>
      <c r="K5" s="10">
        <v>0.59</v>
      </c>
      <c r="L5" s="18">
        <v>138.52</v>
      </c>
      <c r="M5" s="10">
        <v>0.02</v>
      </c>
      <c r="N5" s="19">
        <v>104555</v>
      </c>
      <c r="O5" s="13">
        <v>12.25</v>
      </c>
    </row>
    <row r="6">
      <c r="A6" s="10" t="s">
        <v>14</v>
      </c>
      <c r="B6" s="18">
        <v>3057.03</v>
      </c>
      <c r="C6" s="10">
        <v>0.36</v>
      </c>
      <c r="D6" s="18">
        <v>32954.58</v>
      </c>
      <c r="E6" s="10">
        <v>3.86</v>
      </c>
      <c r="F6" s="18">
        <v>41734.79</v>
      </c>
      <c r="G6" s="10">
        <v>4.89</v>
      </c>
      <c r="H6" s="18">
        <v>12683.82</v>
      </c>
      <c r="I6" s="10">
        <v>1.49</v>
      </c>
      <c r="J6" s="18">
        <v>11542.52</v>
      </c>
      <c r="K6" s="10">
        <v>1.35</v>
      </c>
      <c r="L6" s="18">
        <v>298.73</v>
      </c>
      <c r="M6" s="10">
        <v>0.03</v>
      </c>
      <c r="N6" s="19">
        <v>102271.47</v>
      </c>
      <c r="O6" s="13">
        <v>11.98</v>
      </c>
    </row>
    <row r="7">
      <c r="A7" s="10" t="s">
        <v>15</v>
      </c>
      <c r="B7" s="18">
        <v>2156.47</v>
      </c>
      <c r="C7" s="10">
        <v>0.25</v>
      </c>
      <c r="D7" s="18">
        <v>25516.91</v>
      </c>
      <c r="E7" s="10">
        <v>2.99</v>
      </c>
      <c r="F7" s="18">
        <v>23032.07</v>
      </c>
      <c r="G7" s="10">
        <v>2.7</v>
      </c>
      <c r="H7" s="18">
        <v>8900.21</v>
      </c>
      <c r="I7" s="10">
        <v>1.04</v>
      </c>
      <c r="J7" s="18">
        <v>3751.02</v>
      </c>
      <c r="K7" s="10">
        <v>0.44</v>
      </c>
      <c r="L7" s="18">
        <v>804.7</v>
      </c>
      <c r="M7" s="10">
        <v>0.09</v>
      </c>
      <c r="N7" s="19">
        <v>64161.38</v>
      </c>
      <c r="O7" s="13">
        <v>7.51</v>
      </c>
    </row>
    <row r="8">
      <c r="A8" s="10" t="s">
        <v>16</v>
      </c>
      <c r="B8" s="18">
        <v>562.99</v>
      </c>
      <c r="C8" s="10">
        <v>0.07</v>
      </c>
      <c r="D8" s="18">
        <v>8595.77</v>
      </c>
      <c r="E8" s="10">
        <v>1.01</v>
      </c>
      <c r="F8" s="18">
        <v>1504.99</v>
      </c>
      <c r="G8" s="10">
        <v>0.18</v>
      </c>
      <c r="H8" s="18">
        <v>693</v>
      </c>
      <c r="I8" s="10">
        <v>0.08</v>
      </c>
      <c r="J8" s="18">
        <v>736.28</v>
      </c>
      <c r="K8" s="10">
        <v>0.09</v>
      </c>
      <c r="L8" s="18"/>
      <c r="M8" s="10"/>
      <c r="N8" s="19">
        <v>12093.03</v>
      </c>
      <c r="O8" s="13">
        <v>1.43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295.51</v>
      </c>
      <c r="G9" s="10">
        <v>0.03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1647.99</v>
      </c>
      <c r="O9" s="13">
        <v>0.19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0.36</v>
      </c>
      <c r="F11" s="17">
        <v>5251.3</v>
      </c>
      <c r="G11" s="7">
        <v>0.6</v>
      </c>
      <c r="H11" s="17">
        <v>3592.31</v>
      </c>
      <c r="I11" s="7">
        <v>0.42</v>
      </c>
      <c r="J11" s="17">
        <v>1610.38</v>
      </c>
      <c r="K11" s="7">
        <v>0.19</v>
      </c>
      <c r="L11" s="19"/>
      <c r="M11" s="14"/>
      <c r="N11" s="17">
        <v>13486.54</v>
      </c>
      <c r="O11" s="9">
        <v>1.57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0.05</v>
      </c>
      <c r="L12" s="18"/>
      <c r="M12" s="10"/>
      <c r="N12" s="19">
        <v>1980.86</v>
      </c>
      <c r="O12" s="13">
        <v>0.23</v>
      </c>
    </row>
    <row r="13">
      <c r="A13" s="10" t="s">
        <v>14</v>
      </c>
      <c r="B13" s="18"/>
      <c r="C13" s="10"/>
      <c r="D13" s="18">
        <v>1166.1</v>
      </c>
      <c r="E13" s="10">
        <v>0.14</v>
      </c>
      <c r="F13" s="18">
        <v>3265.17</v>
      </c>
      <c r="G13" s="10">
        <v>0.38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0.87</v>
      </c>
    </row>
    <row r="14">
      <c r="A14" s="10" t="s">
        <v>15</v>
      </c>
      <c r="B14" s="18"/>
      <c r="C14" s="10"/>
      <c r="D14" s="18">
        <v>1159.03</v>
      </c>
      <c r="E14" s="10">
        <v>0.14</v>
      </c>
      <c r="F14" s="18">
        <v>1145.7</v>
      </c>
      <c r="G14" s="10">
        <v>0.13</v>
      </c>
      <c r="H14" s="18">
        <v>996.17</v>
      </c>
      <c r="I14" s="10">
        <v>0.12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0.42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24152.54</v>
      </c>
      <c r="E17" s="7">
        <v>2.82</v>
      </c>
      <c r="F17" s="17">
        <v>31652.64</v>
      </c>
      <c r="G17" s="7">
        <v>3.7</v>
      </c>
      <c r="H17" s="17">
        <v>10935.74</v>
      </c>
      <c r="I17" s="7">
        <v>1.28</v>
      </c>
      <c r="J17" s="17">
        <v>2481.27</v>
      </c>
      <c r="K17" s="7">
        <v>0.28</v>
      </c>
      <c r="L17" s="17">
        <v>399.75</v>
      </c>
      <c r="M17" s="7">
        <v>0.05</v>
      </c>
      <c r="N17" s="17">
        <v>70890.04</v>
      </c>
      <c r="O17" s="9">
        <v>8.28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0.59</v>
      </c>
      <c r="F18" s="18">
        <v>6415.47</v>
      </c>
      <c r="G18" s="10">
        <v>0.75</v>
      </c>
      <c r="H18" s="18">
        <v>3135.79</v>
      </c>
      <c r="I18" s="10">
        <v>0.37</v>
      </c>
      <c r="J18" s="18">
        <v>632.88</v>
      </c>
      <c r="K18" s="10">
        <v>0.07</v>
      </c>
      <c r="L18" s="18">
        <v>242.28</v>
      </c>
      <c r="M18" s="10">
        <v>0.03</v>
      </c>
      <c r="N18" s="19">
        <v>16172.47</v>
      </c>
      <c r="O18" s="13">
        <v>1.89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1.05</v>
      </c>
      <c r="F19" s="18">
        <v>8984.68</v>
      </c>
      <c r="G19" s="10">
        <v>1.05</v>
      </c>
      <c r="H19" s="18">
        <v>3194.81</v>
      </c>
      <c r="I19" s="10">
        <v>0.37</v>
      </c>
      <c r="J19" s="18">
        <v>698.39</v>
      </c>
      <c r="K19" s="10">
        <v>0.08</v>
      </c>
      <c r="L19" s="18"/>
      <c r="M19" s="10"/>
      <c r="N19" s="19">
        <v>22292.98</v>
      </c>
      <c r="O19" s="13">
        <v>2.6</v>
      </c>
    </row>
    <row r="20">
      <c r="A20" s="10" t="s">
        <v>15</v>
      </c>
      <c r="B20" s="18">
        <v>188.5</v>
      </c>
      <c r="C20" s="10">
        <v>0.02</v>
      </c>
      <c r="D20" s="18">
        <v>7701.4</v>
      </c>
      <c r="E20" s="10">
        <v>0.9</v>
      </c>
      <c r="F20" s="18">
        <v>13523.48</v>
      </c>
      <c r="G20" s="10">
        <v>1.58</v>
      </c>
      <c r="H20" s="18">
        <v>3631.71</v>
      </c>
      <c r="I20" s="10">
        <v>0.43</v>
      </c>
      <c r="J20" s="18">
        <v>1150</v>
      </c>
      <c r="K20" s="10">
        <v>0.13</v>
      </c>
      <c r="L20" s="18">
        <v>81.27</v>
      </c>
      <c r="M20" s="10">
        <v>0.01</v>
      </c>
      <c r="N20" s="19">
        <v>26276.36</v>
      </c>
      <c r="O20" s="13">
        <v>3.07</v>
      </c>
    </row>
    <row r="21">
      <c r="A21" s="10" t="s">
        <v>16</v>
      </c>
      <c r="B21" s="18"/>
      <c r="C21" s="10"/>
      <c r="D21" s="18">
        <v>1769.04</v>
      </c>
      <c r="E21" s="10">
        <v>0.21</v>
      </c>
      <c r="F21" s="18">
        <v>2407.38</v>
      </c>
      <c r="G21" s="10">
        <v>0.28</v>
      </c>
      <c r="H21" s="18">
        <v>973.43</v>
      </c>
      <c r="I21" s="10">
        <v>0.11</v>
      </c>
      <c r="J21" s="18"/>
      <c r="K21" s="10"/>
      <c r="L21" s="18"/>
      <c r="M21" s="10"/>
      <c r="N21" s="19">
        <v>5149.85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0.1</v>
      </c>
      <c r="F24" s="17">
        <v>1393.21</v>
      </c>
      <c r="G24" s="7">
        <v>0.16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4610.28</v>
      </c>
      <c r="O24" s="9">
        <v>0.53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0.06</v>
      </c>
      <c r="F26" s="18">
        <v>585.23</v>
      </c>
      <c r="G26" s="10">
        <v>0.07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1798.98</v>
      </c>
      <c r="O26" s="13">
        <v>0.21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/>
      <c r="G28" s="10"/>
      <c r="H28" s="18"/>
      <c r="I28" s="10"/>
      <c r="J28" s="18"/>
      <c r="K28" s="10"/>
      <c r="L28" s="18"/>
      <c r="M28" s="10"/>
      <c r="N28" s="19">
        <v>229.6</v>
      </c>
      <c r="O28" s="13">
        <v>0.03</v>
      </c>
    </row>
    <row r="29">
      <c r="A29" s="7" t="s">
        <v>22</v>
      </c>
      <c r="B29" s="17">
        <v>3348.45</v>
      </c>
      <c r="C29" s="7">
        <v>0.39</v>
      </c>
      <c r="D29" s="17">
        <v>60748.2</v>
      </c>
      <c r="E29" s="7">
        <v>7.12</v>
      </c>
      <c r="F29" s="17">
        <v>128402.5</v>
      </c>
      <c r="G29" s="7">
        <v>15.04</v>
      </c>
      <c r="H29" s="17">
        <v>44593.54</v>
      </c>
      <c r="I29" s="7">
        <v>5.22</v>
      </c>
      <c r="J29" s="17">
        <v>10925.38</v>
      </c>
      <c r="K29" s="7">
        <v>1.27</v>
      </c>
      <c r="L29" s="17">
        <v>624.74</v>
      </c>
      <c r="M29" s="7">
        <v>0.06</v>
      </c>
      <c r="N29" s="17">
        <v>248642.81</v>
      </c>
      <c r="O29" s="9">
        <v>29.1</v>
      </c>
    </row>
    <row r="30">
      <c r="A30" s="10" t="s">
        <v>13</v>
      </c>
      <c r="B30" s="18">
        <v>352.5</v>
      </c>
      <c r="C30" s="10">
        <v>0.04</v>
      </c>
      <c r="D30" s="18">
        <v>19824.78</v>
      </c>
      <c r="E30" s="10">
        <v>2.32</v>
      </c>
      <c r="F30" s="18">
        <v>44348.74</v>
      </c>
      <c r="G30" s="10">
        <v>5.19</v>
      </c>
      <c r="H30" s="18">
        <v>9684.69</v>
      </c>
      <c r="I30" s="10">
        <v>1.13</v>
      </c>
      <c r="J30" s="18">
        <v>4138.34</v>
      </c>
      <c r="K30" s="10">
        <v>0.48</v>
      </c>
      <c r="L30" s="18">
        <v>213</v>
      </c>
      <c r="M30" s="10">
        <v>0.02</v>
      </c>
      <c r="N30" s="19">
        <v>78562.05</v>
      </c>
      <c r="O30" s="13">
        <v>9.18</v>
      </c>
    </row>
    <row r="31">
      <c r="A31" s="10" t="s">
        <v>14</v>
      </c>
      <c r="B31" s="18">
        <v>2142</v>
      </c>
      <c r="C31" s="10">
        <v>0.25</v>
      </c>
      <c r="D31" s="18">
        <v>19303.66</v>
      </c>
      <c r="E31" s="10">
        <v>2.26</v>
      </c>
      <c r="F31" s="18">
        <v>44235.01</v>
      </c>
      <c r="G31" s="10">
        <v>5.18</v>
      </c>
      <c r="H31" s="18">
        <v>19112.9</v>
      </c>
      <c r="I31" s="10">
        <v>2.24</v>
      </c>
      <c r="J31" s="18">
        <v>2945.4</v>
      </c>
      <c r="K31" s="10">
        <v>0.34</v>
      </c>
      <c r="L31" s="18">
        <v>208.08</v>
      </c>
      <c r="M31" s="10">
        <v>0.02</v>
      </c>
      <c r="N31" s="19">
        <v>87947.05</v>
      </c>
      <c r="O31" s="13">
        <v>10.29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2.08</v>
      </c>
      <c r="F32" s="18">
        <v>36100.41</v>
      </c>
      <c r="G32" s="10">
        <v>4.23</v>
      </c>
      <c r="H32" s="18">
        <v>14901.65</v>
      </c>
      <c r="I32" s="10">
        <v>1.75</v>
      </c>
      <c r="J32" s="18">
        <v>3398.84</v>
      </c>
      <c r="K32" s="10">
        <v>0.4</v>
      </c>
      <c r="L32" s="18">
        <v>102.68</v>
      </c>
      <c r="M32" s="10">
        <v>0.01</v>
      </c>
      <c r="N32" s="19">
        <v>72903.94</v>
      </c>
      <c r="O32" s="13">
        <v>8.55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0.4</v>
      </c>
      <c r="F33" s="18">
        <v>3498.74</v>
      </c>
      <c r="G33" s="10">
        <v>0.41</v>
      </c>
      <c r="H33" s="18">
        <v>894.3</v>
      </c>
      <c r="I33" s="10">
        <v>0.1</v>
      </c>
      <c r="J33" s="18">
        <v>442.8</v>
      </c>
      <c r="K33" s="10">
        <v>0.05</v>
      </c>
      <c r="L33" s="18">
        <v>100.98</v>
      </c>
      <c r="M33" s="10">
        <v>0.01</v>
      </c>
      <c r="N33" s="19">
        <v>8503.81</v>
      </c>
      <c r="O33" s="13">
        <v>0.99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0.03</v>
      </c>
      <c r="H34" s="18"/>
      <c r="I34" s="10"/>
      <c r="J34" s="18"/>
      <c r="K34" s="10"/>
      <c r="L34" s="18"/>
      <c r="M34" s="10"/>
      <c r="N34" s="19">
        <v>725.96</v>
      </c>
      <c r="O34" s="13">
        <v>0.09</v>
      </c>
    </row>
    <row r="35">
      <c r="A35" s="7" t="s">
        <v>23</v>
      </c>
      <c r="B35" s="19"/>
      <c r="C35" s="14"/>
      <c r="D35" s="17">
        <v>686.43</v>
      </c>
      <c r="E35" s="7">
        <v>0.08</v>
      </c>
      <c r="F35" s="17">
        <v>2605.47</v>
      </c>
      <c r="G35" s="7">
        <v>0.3</v>
      </c>
      <c r="H35" s="17">
        <v>1738.75</v>
      </c>
      <c r="I35" s="7">
        <v>0.21</v>
      </c>
      <c r="J35" s="17">
        <v>104</v>
      </c>
      <c r="K35" s="7">
        <v>0.01</v>
      </c>
      <c r="L35" s="19"/>
      <c r="M35" s="14"/>
      <c r="N35" s="17">
        <v>5134.65</v>
      </c>
      <c r="O35" s="9">
        <v>0.6</v>
      </c>
    </row>
    <row r="36">
      <c r="A36" s="10" t="s">
        <v>13</v>
      </c>
      <c r="B36" s="18"/>
      <c r="C36" s="10"/>
      <c r="D36" s="18">
        <v>193.2</v>
      </c>
      <c r="E36" s="10">
        <v>0.02</v>
      </c>
      <c r="F36" s="18">
        <v>446.4</v>
      </c>
      <c r="G36" s="10">
        <v>0.05</v>
      </c>
      <c r="H36" s="18">
        <v>156.8</v>
      </c>
      <c r="I36" s="10">
        <v>0.02</v>
      </c>
      <c r="J36" s="18"/>
      <c r="K36" s="10"/>
      <c r="L36" s="18"/>
      <c r="M36" s="10"/>
      <c r="N36" s="19">
        <v>796.4</v>
      </c>
      <c r="O36" s="13">
        <v>0.09</v>
      </c>
    </row>
    <row r="37">
      <c r="A37" s="10" t="s">
        <v>14</v>
      </c>
      <c r="B37" s="18"/>
      <c r="C37" s="10"/>
      <c r="D37" s="18">
        <v>333.84</v>
      </c>
      <c r="E37" s="10">
        <v>0.04</v>
      </c>
      <c r="F37" s="18">
        <v>831.32</v>
      </c>
      <c r="G37" s="10">
        <v>0.1</v>
      </c>
      <c r="H37" s="18">
        <v>936.89</v>
      </c>
      <c r="I37" s="10">
        <v>0.11</v>
      </c>
      <c r="J37" s="18">
        <v>104</v>
      </c>
      <c r="K37" s="10">
        <v>0.01</v>
      </c>
      <c r="L37" s="18"/>
      <c r="M37" s="10"/>
      <c r="N37" s="19">
        <v>2206.05</v>
      </c>
      <c r="O37" s="13">
        <v>0.26</v>
      </c>
    </row>
    <row r="38">
      <c r="A38" s="10" t="s">
        <v>15</v>
      </c>
      <c r="B38" s="18"/>
      <c r="C38" s="10"/>
      <c r="D38" s="18">
        <v>159.39</v>
      </c>
      <c r="E38" s="10">
        <v>0.02</v>
      </c>
      <c r="F38" s="18">
        <v>866.9</v>
      </c>
      <c r="G38" s="10">
        <v>0.1</v>
      </c>
      <c r="H38" s="18">
        <v>645.06</v>
      </c>
      <c r="I38" s="10">
        <v>0.08</v>
      </c>
      <c r="J38" s="18"/>
      <c r="K38" s="10"/>
      <c r="L38" s="18"/>
      <c r="M38" s="10"/>
      <c r="N38" s="19">
        <v>1671.35</v>
      </c>
      <c r="O38" s="13">
        <v>0.2</v>
      </c>
    </row>
    <row r="39">
      <c r="A39" s="10" t="s">
        <v>16</v>
      </c>
      <c r="B39" s="18"/>
      <c r="C39" s="10"/>
      <c r="D39" s="18"/>
      <c r="E39" s="10"/>
      <c r="F39" s="18">
        <v>235.8</v>
      </c>
      <c r="G39" s="10">
        <v>0.03</v>
      </c>
      <c r="H39" s="18"/>
      <c r="I39" s="10"/>
      <c r="J39" s="18"/>
      <c r="K39" s="10"/>
      <c r="L39" s="18"/>
      <c r="M39" s="10"/>
      <c r="N39" s="19">
        <v>235.8</v>
      </c>
      <c r="O39" s="13">
        <v>0.03</v>
      </c>
    </row>
    <row r="40">
      <c r="A40" s="10" t="s">
        <v>17</v>
      </c>
      <c r="B40" s="18"/>
      <c r="C40" s="10"/>
      <c r="D40" s="18"/>
      <c r="E40" s="10"/>
      <c r="F40" s="18">
        <v>109.85</v>
      </c>
      <c r="G40" s="10">
        <v>0.01</v>
      </c>
      <c r="H40" s="18"/>
      <c r="I40" s="10"/>
      <c r="J40" s="18"/>
      <c r="K40" s="10"/>
      <c r="L40" s="18"/>
      <c r="M40" s="10"/>
      <c r="N40" s="19">
        <v>109.85</v>
      </c>
      <c r="O40" s="13">
        <v>0.01</v>
      </c>
    </row>
    <row r="41">
      <c r="A41" s="10" t="s">
        <v>18</v>
      </c>
      <c r="B41" s="18"/>
      <c r="C41" s="10"/>
      <c r="D41" s="18"/>
      <c r="E41" s="10"/>
      <c r="F41" s="18">
        <v>115.2</v>
      </c>
      <c r="G41" s="10">
        <v>0.01</v>
      </c>
      <c r="H41" s="18"/>
      <c r="I41" s="10"/>
      <c r="J41" s="18"/>
      <c r="K41" s="10"/>
      <c r="L41" s="18"/>
      <c r="M41" s="10"/>
      <c r="N41" s="19">
        <v>115.2</v>
      </c>
      <c r="O41" s="13">
        <v>0.01</v>
      </c>
    </row>
    <row r="42">
      <c r="A42" s="7" t="s">
        <v>24</v>
      </c>
      <c r="B42" s="19"/>
      <c r="C42" s="14"/>
      <c r="D42" s="19"/>
      <c r="E42" s="14"/>
      <c r="F42" s="17">
        <v>2644.11</v>
      </c>
      <c r="G42" s="7">
        <v>0.3</v>
      </c>
      <c r="H42" s="17">
        <v>2709.07</v>
      </c>
      <c r="I42" s="7">
        <v>0.32</v>
      </c>
      <c r="J42" s="17">
        <v>1780.85</v>
      </c>
      <c r="K42" s="7">
        <v>0.21</v>
      </c>
      <c r="L42" s="17">
        <v>352.83</v>
      </c>
      <c r="M42" s="7">
        <v>0.05</v>
      </c>
      <c r="N42" s="17">
        <v>7486.86</v>
      </c>
      <c r="O42" s="9">
        <v>0.88</v>
      </c>
    </row>
    <row r="43">
      <c r="A43" s="10" t="s">
        <v>13</v>
      </c>
      <c r="B43" s="18"/>
      <c r="C43" s="10"/>
      <c r="D43" s="18"/>
      <c r="E43" s="10"/>
      <c r="F43" s="18">
        <v>187.82</v>
      </c>
      <c r="G43" s="10">
        <v>0.02</v>
      </c>
      <c r="H43" s="18">
        <v>155.98</v>
      </c>
      <c r="I43" s="10">
        <v>0.02</v>
      </c>
      <c r="J43" s="18">
        <v>178.8</v>
      </c>
      <c r="K43" s="10">
        <v>0.02</v>
      </c>
      <c r="L43" s="18"/>
      <c r="M43" s="10"/>
      <c r="N43" s="19">
        <v>522.6</v>
      </c>
      <c r="O43" s="13">
        <v>0.06</v>
      </c>
    </row>
    <row r="44">
      <c r="A44" s="10" t="s">
        <v>14</v>
      </c>
      <c r="B44" s="18"/>
      <c r="C44" s="10"/>
      <c r="D44" s="18"/>
      <c r="E44" s="10"/>
      <c r="F44" s="18">
        <v>2088.61</v>
      </c>
      <c r="G44" s="10">
        <v>0.24</v>
      </c>
      <c r="H44" s="18">
        <v>1893.08</v>
      </c>
      <c r="I44" s="10">
        <v>0.22</v>
      </c>
      <c r="J44" s="18">
        <v>721.89</v>
      </c>
      <c r="K44" s="10">
        <v>0.08</v>
      </c>
      <c r="L44" s="18">
        <v>216.7</v>
      </c>
      <c r="M44" s="10">
        <v>0.03</v>
      </c>
      <c r="N44" s="19">
        <v>4920.28</v>
      </c>
      <c r="O44" s="13">
        <v>0.57</v>
      </c>
    </row>
    <row r="45">
      <c r="A45" s="10" t="s">
        <v>15</v>
      </c>
      <c r="B45" s="18"/>
      <c r="C45" s="10"/>
      <c r="D45" s="18"/>
      <c r="E45" s="10"/>
      <c r="F45" s="18">
        <v>367.68</v>
      </c>
      <c r="G45" s="10">
        <v>0.04</v>
      </c>
      <c r="H45" s="18">
        <v>514.65</v>
      </c>
      <c r="I45" s="10">
        <v>0.06</v>
      </c>
      <c r="J45" s="18">
        <v>752</v>
      </c>
      <c r="K45" s="10">
        <v>0.09</v>
      </c>
      <c r="L45" s="18">
        <v>136.13</v>
      </c>
      <c r="M45" s="10">
        <v>0.02</v>
      </c>
      <c r="N45" s="19">
        <v>1770.46</v>
      </c>
      <c r="O45" s="13">
        <v>0.21</v>
      </c>
    </row>
    <row r="46">
      <c r="A46" s="10" t="s">
        <v>16</v>
      </c>
      <c r="B46" s="18"/>
      <c r="C46" s="10"/>
      <c r="D46" s="18"/>
      <c r="E46" s="10"/>
      <c r="F46" s="18"/>
      <c r="G46" s="10"/>
      <c r="H46" s="18">
        <v>145.36</v>
      </c>
      <c r="I46" s="10">
        <v>0.02</v>
      </c>
      <c r="J46" s="18"/>
      <c r="K46" s="10"/>
      <c r="L46" s="18"/>
      <c r="M46" s="10"/>
      <c r="N46" s="19">
        <v>145.36</v>
      </c>
      <c r="O46" s="13">
        <v>0.02</v>
      </c>
    </row>
    <row r="47">
      <c r="A47" s="10" t="s">
        <v>17</v>
      </c>
      <c r="B47" s="18"/>
      <c r="C47" s="10"/>
      <c r="D47" s="18"/>
      <c r="E47" s="10"/>
      <c r="F47" s="18"/>
      <c r="G47" s="10"/>
      <c r="H47" s="18"/>
      <c r="I47" s="10"/>
      <c r="J47" s="18">
        <v>128.16</v>
      </c>
      <c r="K47" s="10">
        <v>0.02</v>
      </c>
      <c r="L47" s="18"/>
      <c r="M47" s="10"/>
      <c r="N47" s="19">
        <v>128.16</v>
      </c>
      <c r="O47" s="13">
        <v>0.02</v>
      </c>
    </row>
    <row r="48">
      <c r="A48" s="7" t="s">
        <v>25</v>
      </c>
      <c r="B48" s="19"/>
      <c r="C48" s="14"/>
      <c r="D48" s="17">
        <v>6949</v>
      </c>
      <c r="E48" s="7">
        <v>0.81</v>
      </c>
      <c r="F48" s="17">
        <v>19258.93</v>
      </c>
      <c r="G48" s="7">
        <v>2.25</v>
      </c>
      <c r="H48" s="17">
        <v>23340.52</v>
      </c>
      <c r="I48" s="7">
        <v>2.72</v>
      </c>
      <c r="J48" s="17">
        <v>5255.3</v>
      </c>
      <c r="K48" s="7">
        <v>0.62</v>
      </c>
      <c r="L48" s="19"/>
      <c r="M48" s="14"/>
      <c r="N48" s="17">
        <v>54803.75</v>
      </c>
      <c r="O48" s="9">
        <v>6.4</v>
      </c>
    </row>
    <row r="49">
      <c r="A49" s="10" t="s">
        <v>13</v>
      </c>
      <c r="B49" s="18"/>
      <c r="C49" s="10"/>
      <c r="D49" s="18">
        <v>1377</v>
      </c>
      <c r="E49" s="10">
        <v>0.16</v>
      </c>
      <c r="F49" s="18">
        <v>2416.66</v>
      </c>
      <c r="G49" s="10">
        <v>0.28</v>
      </c>
      <c r="H49" s="18">
        <v>3446.45</v>
      </c>
      <c r="I49" s="10">
        <v>0.4</v>
      </c>
      <c r="J49" s="18">
        <v>783.36</v>
      </c>
      <c r="K49" s="10">
        <v>0.09</v>
      </c>
      <c r="L49" s="18"/>
      <c r="M49" s="10"/>
      <c r="N49" s="19">
        <v>8023.47</v>
      </c>
      <c r="O49" s="13">
        <v>0.93</v>
      </c>
    </row>
    <row r="50">
      <c r="A50" s="10" t="s">
        <v>14</v>
      </c>
      <c r="B50" s="18"/>
      <c r="C50" s="10"/>
      <c r="D50" s="18">
        <v>1772.34</v>
      </c>
      <c r="E50" s="10">
        <v>0.21</v>
      </c>
      <c r="F50" s="18">
        <v>7345.55</v>
      </c>
      <c r="G50" s="10">
        <v>0.86</v>
      </c>
      <c r="H50" s="18">
        <v>11645.91</v>
      </c>
      <c r="I50" s="10">
        <v>1.36</v>
      </c>
      <c r="J50" s="18">
        <v>2537.76</v>
      </c>
      <c r="K50" s="10">
        <v>0.3</v>
      </c>
      <c r="L50" s="18"/>
      <c r="M50" s="10"/>
      <c r="N50" s="19">
        <v>23301.56</v>
      </c>
      <c r="O50" s="13">
        <v>2.73</v>
      </c>
    </row>
    <row r="51">
      <c r="A51" s="10" t="s">
        <v>15</v>
      </c>
      <c r="B51" s="18"/>
      <c r="C51" s="10"/>
      <c r="D51" s="18">
        <v>2318.16</v>
      </c>
      <c r="E51" s="10">
        <v>0.27</v>
      </c>
      <c r="F51" s="18">
        <v>8310.53</v>
      </c>
      <c r="G51" s="10">
        <v>0.97</v>
      </c>
      <c r="H51" s="18">
        <v>7120.64</v>
      </c>
      <c r="I51" s="10">
        <v>0.83</v>
      </c>
      <c r="J51" s="18">
        <v>1934.18</v>
      </c>
      <c r="K51" s="10">
        <v>0.23</v>
      </c>
      <c r="L51" s="18"/>
      <c r="M51" s="10"/>
      <c r="N51" s="19">
        <v>19683.51</v>
      </c>
      <c r="O51" s="13">
        <v>2.3</v>
      </c>
    </row>
    <row r="52">
      <c r="A52" s="10" t="s">
        <v>16</v>
      </c>
      <c r="B52" s="18"/>
      <c r="C52" s="10"/>
      <c r="D52" s="18">
        <v>1481.5</v>
      </c>
      <c r="E52" s="10">
        <v>0.17</v>
      </c>
      <c r="F52" s="18">
        <v>1038.19</v>
      </c>
      <c r="G52" s="10">
        <v>0.12</v>
      </c>
      <c r="H52" s="18">
        <v>1127.52</v>
      </c>
      <c r="I52" s="10">
        <v>0.13</v>
      </c>
      <c r="J52" s="18"/>
      <c r="K52" s="10"/>
      <c r="L52" s="18"/>
      <c r="M52" s="10"/>
      <c r="N52" s="19">
        <v>3647.21</v>
      </c>
      <c r="O52" s="13">
        <v>0.42</v>
      </c>
    </row>
    <row r="53">
      <c r="A53" s="10" t="s">
        <v>17</v>
      </c>
      <c r="B53" s="18"/>
      <c r="C53" s="10"/>
      <c r="D53" s="18"/>
      <c r="E53" s="10"/>
      <c r="F53" s="18">
        <v>148</v>
      </c>
      <c r="G53" s="10">
        <v>0.02</v>
      </c>
      <c r="H53" s="18"/>
      <c r="I53" s="10"/>
      <c r="J53" s="18"/>
      <c r="K53" s="10"/>
      <c r="L53" s="18"/>
      <c r="M53" s="10"/>
      <c r="N53" s="19">
        <v>148</v>
      </c>
      <c r="O53" s="13">
        <v>0.02</v>
      </c>
    </row>
    <row r="54">
      <c r="A54" s="7" t="s">
        <v>26</v>
      </c>
      <c r="B54" s="19"/>
      <c r="C54" s="14"/>
      <c r="D54" s="17">
        <v>211</v>
      </c>
      <c r="E54" s="7">
        <v>0.02</v>
      </c>
      <c r="F54" s="17">
        <v>1010.22</v>
      </c>
      <c r="G54" s="7">
        <v>0.12</v>
      </c>
      <c r="H54" s="17">
        <v>4013.25</v>
      </c>
      <c r="I54" s="7">
        <v>0.48</v>
      </c>
      <c r="J54" s="17">
        <v>1371.01</v>
      </c>
      <c r="K54" s="7">
        <v>0.17</v>
      </c>
      <c r="L54" s="19"/>
      <c r="M54" s="14"/>
      <c r="N54" s="17">
        <v>6605.48</v>
      </c>
      <c r="O54" s="9">
        <v>0.79</v>
      </c>
    </row>
    <row r="55">
      <c r="A55" s="10" t="s">
        <v>13</v>
      </c>
      <c r="B55" s="18"/>
      <c r="C55" s="10"/>
      <c r="D55" s="18"/>
      <c r="E55" s="10"/>
      <c r="F55" s="18"/>
      <c r="G55" s="10"/>
      <c r="H55" s="18">
        <v>830.22</v>
      </c>
      <c r="I55" s="10">
        <v>0.1</v>
      </c>
      <c r="J55" s="18"/>
      <c r="K55" s="10"/>
      <c r="L55" s="18"/>
      <c r="M55" s="10"/>
      <c r="N55" s="19">
        <v>830.22</v>
      </c>
      <c r="O55" s="13">
        <v>0.1</v>
      </c>
    </row>
    <row r="56">
      <c r="A56" s="10" t="s">
        <v>14</v>
      </c>
      <c r="B56" s="18"/>
      <c r="C56" s="10"/>
      <c r="D56" s="18"/>
      <c r="E56" s="10"/>
      <c r="F56" s="18">
        <v>277.97</v>
      </c>
      <c r="G56" s="10">
        <v>0.03</v>
      </c>
      <c r="H56" s="18">
        <v>1677.19</v>
      </c>
      <c r="I56" s="10">
        <v>0.2</v>
      </c>
      <c r="J56" s="18">
        <v>222.89</v>
      </c>
      <c r="K56" s="10">
        <v>0.03</v>
      </c>
      <c r="L56" s="18"/>
      <c r="M56" s="10"/>
      <c r="N56" s="19">
        <v>2178.05</v>
      </c>
      <c r="O56" s="13">
        <v>0.26</v>
      </c>
    </row>
    <row r="57">
      <c r="A57" s="10" t="s">
        <v>15</v>
      </c>
      <c r="B57" s="18"/>
      <c r="C57" s="10"/>
      <c r="D57" s="18"/>
      <c r="E57" s="10"/>
      <c r="F57" s="18">
        <v>732.25</v>
      </c>
      <c r="G57" s="10">
        <v>0.09</v>
      </c>
      <c r="H57" s="18">
        <v>908.96</v>
      </c>
      <c r="I57" s="10">
        <v>0.11</v>
      </c>
      <c r="J57" s="18">
        <v>753.79</v>
      </c>
      <c r="K57" s="10">
        <v>0.09</v>
      </c>
      <c r="L57" s="18"/>
      <c r="M57" s="10"/>
      <c r="N57" s="19">
        <v>2395</v>
      </c>
      <c r="O57" s="13">
        <v>0.29</v>
      </c>
    </row>
    <row r="58">
      <c r="A58" s="10" t="s">
        <v>16</v>
      </c>
      <c r="B58" s="18"/>
      <c r="C58" s="10"/>
      <c r="D58" s="18">
        <v>211</v>
      </c>
      <c r="E58" s="10">
        <v>0.02</v>
      </c>
      <c r="F58" s="18"/>
      <c r="G58" s="10"/>
      <c r="H58" s="18">
        <v>444.69</v>
      </c>
      <c r="I58" s="10">
        <v>0.05</v>
      </c>
      <c r="J58" s="18">
        <v>394.33</v>
      </c>
      <c r="K58" s="10">
        <v>0.05</v>
      </c>
      <c r="L58" s="18"/>
      <c r="M58" s="10"/>
      <c r="N58" s="19">
        <v>1050.02</v>
      </c>
      <c r="O58" s="13">
        <v>0.12</v>
      </c>
    </row>
    <row r="59">
      <c r="A59" s="10" t="s">
        <v>17</v>
      </c>
      <c r="B59" s="18"/>
      <c r="C59" s="10"/>
      <c r="D59" s="18"/>
      <c r="E59" s="10"/>
      <c r="F59" s="18"/>
      <c r="G59" s="10"/>
      <c r="H59" s="18">
        <v>152.19</v>
      </c>
      <c r="I59" s="10">
        <v>0.02</v>
      </c>
      <c r="J59" s="18"/>
      <c r="K59" s="10"/>
      <c r="L59" s="18"/>
      <c r="M59" s="10"/>
      <c r="N59" s="19">
        <v>152.19</v>
      </c>
      <c r="O59" s="13">
        <v>0.02</v>
      </c>
    </row>
    <row r="60">
      <c r="A60" s="7" t="s">
        <v>27</v>
      </c>
      <c r="B60" s="19"/>
      <c r="C60" s="14"/>
      <c r="D60" s="17">
        <v>296.4</v>
      </c>
      <c r="E60" s="7">
        <v>0.03</v>
      </c>
      <c r="F60" s="17">
        <v>3959.2</v>
      </c>
      <c r="G60" s="7">
        <v>0.47</v>
      </c>
      <c r="H60" s="17">
        <v>2801.12</v>
      </c>
      <c r="I60" s="7">
        <v>0.33</v>
      </c>
      <c r="J60" s="17">
        <v>1160.35</v>
      </c>
      <c r="K60" s="7">
        <v>0.14</v>
      </c>
      <c r="L60" s="19"/>
      <c r="M60" s="14"/>
      <c r="N60" s="17">
        <v>8217.07</v>
      </c>
      <c r="O60" s="9">
        <v>0.97</v>
      </c>
    </row>
    <row r="61">
      <c r="A61" s="10" t="s">
        <v>13</v>
      </c>
      <c r="B61" s="18"/>
      <c r="C61" s="10"/>
      <c r="D61" s="18"/>
      <c r="E61" s="10"/>
      <c r="F61" s="18">
        <v>821.14</v>
      </c>
      <c r="G61" s="10">
        <v>0.1</v>
      </c>
      <c r="H61" s="18">
        <v>804.15</v>
      </c>
      <c r="I61" s="10">
        <v>0.09</v>
      </c>
      <c r="J61" s="18"/>
      <c r="K61" s="10"/>
      <c r="L61" s="18"/>
      <c r="M61" s="10"/>
      <c r="N61" s="19">
        <v>1625.29</v>
      </c>
      <c r="O61" s="13">
        <v>0.19</v>
      </c>
    </row>
    <row r="62">
      <c r="A62" s="10" t="s">
        <v>14</v>
      </c>
      <c r="B62" s="18"/>
      <c r="C62" s="10"/>
      <c r="D62" s="18"/>
      <c r="E62" s="10"/>
      <c r="F62" s="18">
        <v>1737.46</v>
      </c>
      <c r="G62" s="10">
        <v>0.2</v>
      </c>
      <c r="H62" s="18">
        <v>492.55</v>
      </c>
      <c r="I62" s="10">
        <v>0.06</v>
      </c>
      <c r="J62" s="18">
        <v>772.19</v>
      </c>
      <c r="K62" s="10">
        <v>0.09</v>
      </c>
      <c r="L62" s="18"/>
      <c r="M62" s="10"/>
      <c r="N62" s="19">
        <v>3002.2</v>
      </c>
      <c r="O62" s="13">
        <v>0.35</v>
      </c>
    </row>
    <row r="63">
      <c r="A63" s="10" t="s">
        <v>15</v>
      </c>
      <c r="B63" s="18"/>
      <c r="C63" s="10"/>
      <c r="D63" s="18">
        <v>296.4</v>
      </c>
      <c r="E63" s="10">
        <v>0.03</v>
      </c>
      <c r="F63" s="18">
        <v>730.47</v>
      </c>
      <c r="G63" s="10">
        <v>0.09</v>
      </c>
      <c r="H63" s="18">
        <v>248.49</v>
      </c>
      <c r="I63" s="10">
        <v>0.03</v>
      </c>
      <c r="J63" s="18">
        <v>388.16</v>
      </c>
      <c r="K63" s="10">
        <v>0.05</v>
      </c>
      <c r="L63" s="18"/>
      <c r="M63" s="10"/>
      <c r="N63" s="19">
        <v>1663.52</v>
      </c>
      <c r="O63" s="13">
        <v>0.2</v>
      </c>
    </row>
    <row r="64">
      <c r="A64" s="10" t="s">
        <v>16</v>
      </c>
      <c r="B64" s="18"/>
      <c r="C64" s="10"/>
      <c r="D64" s="18"/>
      <c r="E64" s="10"/>
      <c r="F64" s="18">
        <v>477.63</v>
      </c>
      <c r="G64" s="10">
        <v>0.06</v>
      </c>
      <c r="H64" s="18">
        <v>1069.45</v>
      </c>
      <c r="I64" s="10">
        <v>0.13</v>
      </c>
      <c r="J64" s="18"/>
      <c r="K64" s="10"/>
      <c r="L64" s="18"/>
      <c r="M64" s="10"/>
      <c r="N64" s="19">
        <v>1547.08</v>
      </c>
      <c r="O64" s="13">
        <v>0.19</v>
      </c>
    </row>
    <row r="65">
      <c r="A65" s="10" t="s">
        <v>17</v>
      </c>
      <c r="B65" s="18"/>
      <c r="C65" s="10"/>
      <c r="D65" s="18"/>
      <c r="E65" s="10"/>
      <c r="F65" s="18">
        <v>192.5</v>
      </c>
      <c r="G65" s="10">
        <v>0.02</v>
      </c>
      <c r="H65" s="18">
        <v>186.48</v>
      </c>
      <c r="I65" s="10">
        <v>0.02</v>
      </c>
      <c r="J65" s="18"/>
      <c r="K65" s="10"/>
      <c r="L65" s="18"/>
      <c r="M65" s="10"/>
      <c r="N65" s="19">
        <v>378.98</v>
      </c>
      <c r="O65" s="13">
        <v>0.04</v>
      </c>
    </row>
    <row r="66">
      <c r="A66" s="7" t="s">
        <v>28</v>
      </c>
      <c r="B66" s="19"/>
      <c r="C66" s="14"/>
      <c r="D66" s="19"/>
      <c r="E66" s="14"/>
      <c r="F66" s="19"/>
      <c r="G66" s="14"/>
      <c r="H66" s="17">
        <v>1016.7</v>
      </c>
      <c r="I66" s="7">
        <v>0.11</v>
      </c>
      <c r="J66" s="19"/>
      <c r="K66" s="14"/>
      <c r="L66" s="17">
        <v>148.77</v>
      </c>
      <c r="M66" s="7">
        <v>0.02</v>
      </c>
      <c r="N66" s="17">
        <v>1165.47</v>
      </c>
      <c r="O66" s="9">
        <v>0.13</v>
      </c>
    </row>
    <row r="67">
      <c r="A67" s="10" t="s">
        <v>14</v>
      </c>
      <c r="B67" s="18"/>
      <c r="C67" s="10"/>
      <c r="D67" s="18"/>
      <c r="E67" s="10"/>
      <c r="F67" s="18"/>
      <c r="G67" s="10"/>
      <c r="H67" s="18">
        <v>350.2</v>
      </c>
      <c r="I67" s="10">
        <v>0.04</v>
      </c>
      <c r="J67" s="18"/>
      <c r="K67" s="10"/>
      <c r="L67" s="18">
        <v>148.77</v>
      </c>
      <c r="M67" s="10">
        <v>0.02</v>
      </c>
      <c r="N67" s="19">
        <v>498.97</v>
      </c>
      <c r="O67" s="13">
        <v>0.06</v>
      </c>
    </row>
    <row r="68">
      <c r="A68" s="10" t="s">
        <v>15</v>
      </c>
      <c r="B68" s="18"/>
      <c r="C68" s="10"/>
      <c r="D68" s="18"/>
      <c r="E68" s="10"/>
      <c r="F68" s="18"/>
      <c r="G68" s="10"/>
      <c r="H68" s="18">
        <v>369.5</v>
      </c>
      <c r="I68" s="10">
        <v>0.04</v>
      </c>
      <c r="J68" s="18"/>
      <c r="K68" s="10"/>
      <c r="L68" s="18"/>
      <c r="M68" s="10"/>
      <c r="N68" s="19">
        <v>369.5</v>
      </c>
      <c r="O68" s="13">
        <v>0.04</v>
      </c>
    </row>
    <row r="69">
      <c r="A69" s="10" t="s">
        <v>16</v>
      </c>
      <c r="B69" s="18"/>
      <c r="C69" s="10"/>
      <c r="D69" s="18"/>
      <c r="E69" s="10"/>
      <c r="F69" s="18"/>
      <c r="G69" s="10"/>
      <c r="H69" s="18">
        <v>297</v>
      </c>
      <c r="I69" s="10">
        <v>0.03</v>
      </c>
      <c r="J69" s="18"/>
      <c r="K69" s="10"/>
      <c r="L69" s="18"/>
      <c r="M69" s="10"/>
      <c r="N69" s="19">
        <v>297</v>
      </c>
      <c r="O69" s="13">
        <v>0.03</v>
      </c>
    </row>
    <row r="70">
      <c r="A70" s="7" t="s">
        <v>29</v>
      </c>
      <c r="B70" s="19"/>
      <c r="C70" s="14"/>
      <c r="D70" s="17">
        <v>332.2</v>
      </c>
      <c r="E70" s="7">
        <v>0.04</v>
      </c>
      <c r="F70" s="17">
        <v>5480.32</v>
      </c>
      <c r="G70" s="7">
        <v>0.64</v>
      </c>
      <c r="H70" s="17">
        <v>5975.7</v>
      </c>
      <c r="I70" s="7">
        <v>0.7</v>
      </c>
      <c r="J70" s="17">
        <v>5504.77</v>
      </c>
      <c r="K70" s="7">
        <v>0.64</v>
      </c>
      <c r="L70" s="17">
        <v>541.8</v>
      </c>
      <c r="M70" s="7">
        <v>0.06</v>
      </c>
      <c r="N70" s="17">
        <v>17834.79</v>
      </c>
      <c r="O70" s="9">
        <v>2.08</v>
      </c>
    </row>
    <row r="71">
      <c r="A71" s="10" t="s">
        <v>13</v>
      </c>
      <c r="B71" s="18"/>
      <c r="C71" s="10"/>
      <c r="D71" s="18"/>
      <c r="E71" s="10"/>
      <c r="F71" s="18"/>
      <c r="G71" s="10"/>
      <c r="H71" s="18">
        <v>366</v>
      </c>
      <c r="I71" s="10">
        <v>0.04</v>
      </c>
      <c r="J71" s="18">
        <v>273</v>
      </c>
      <c r="K71" s="10">
        <v>0.03</v>
      </c>
      <c r="L71" s="18">
        <v>541.8</v>
      </c>
      <c r="M71" s="10">
        <v>0.06</v>
      </c>
      <c r="N71" s="19">
        <v>1180.8</v>
      </c>
      <c r="O71" s="13">
        <v>0.13</v>
      </c>
    </row>
    <row r="72">
      <c r="A72" s="10" t="s">
        <v>14</v>
      </c>
      <c r="B72" s="18"/>
      <c r="C72" s="10"/>
      <c r="D72" s="18"/>
      <c r="E72" s="10"/>
      <c r="F72" s="18">
        <v>1356.81</v>
      </c>
      <c r="G72" s="10">
        <v>0.16</v>
      </c>
      <c r="H72" s="18">
        <v>1071.84</v>
      </c>
      <c r="I72" s="10">
        <v>0.13</v>
      </c>
      <c r="J72" s="18">
        <v>2902.1</v>
      </c>
      <c r="K72" s="10">
        <v>0.34</v>
      </c>
      <c r="L72" s="18"/>
      <c r="M72" s="10"/>
      <c r="N72" s="19">
        <v>5330.75</v>
      </c>
      <c r="O72" s="13">
        <v>0.63</v>
      </c>
    </row>
    <row r="73">
      <c r="A73" s="10" t="s">
        <v>15</v>
      </c>
      <c r="B73" s="18"/>
      <c r="C73" s="10"/>
      <c r="D73" s="18">
        <v>332.2</v>
      </c>
      <c r="E73" s="10">
        <v>0.04</v>
      </c>
      <c r="F73" s="18">
        <v>2919.87</v>
      </c>
      <c r="G73" s="10">
        <v>0.34</v>
      </c>
      <c r="H73" s="18">
        <v>3613.87</v>
      </c>
      <c r="I73" s="10">
        <v>0.42</v>
      </c>
      <c r="J73" s="18">
        <v>614.86</v>
      </c>
      <c r="K73" s="10">
        <v>0.07</v>
      </c>
      <c r="L73" s="18"/>
      <c r="M73" s="10"/>
      <c r="N73" s="19">
        <v>7480.8</v>
      </c>
      <c r="O73" s="13">
        <v>0.87</v>
      </c>
    </row>
    <row r="74">
      <c r="A74" s="10" t="s">
        <v>16</v>
      </c>
      <c r="B74" s="18"/>
      <c r="C74" s="10"/>
      <c r="D74" s="18"/>
      <c r="E74" s="10"/>
      <c r="F74" s="18">
        <v>1203.64</v>
      </c>
      <c r="G74" s="10">
        <v>0.14</v>
      </c>
      <c r="H74" s="18">
        <v>591.14</v>
      </c>
      <c r="I74" s="10">
        <v>0.07</v>
      </c>
      <c r="J74" s="18">
        <v>1714.81</v>
      </c>
      <c r="K74" s="10">
        <v>0.2</v>
      </c>
      <c r="L74" s="18"/>
      <c r="M74" s="10"/>
      <c r="N74" s="19">
        <v>3509.59</v>
      </c>
      <c r="O74" s="13">
        <v>0.41</v>
      </c>
    </row>
    <row r="75">
      <c r="A75" s="10" t="s">
        <v>17</v>
      </c>
      <c r="B75" s="18"/>
      <c r="C75" s="10"/>
      <c r="D75" s="18"/>
      <c r="E75" s="10"/>
      <c r="F75" s="18"/>
      <c r="G75" s="10"/>
      <c r="H75" s="18">
        <v>332.85</v>
      </c>
      <c r="I75" s="10">
        <v>0.04</v>
      </c>
      <c r="J75" s="18"/>
      <c r="K75" s="10"/>
      <c r="L75" s="18"/>
      <c r="M75" s="10"/>
      <c r="N75" s="19">
        <v>332.85</v>
      </c>
      <c r="O75" s="13">
        <v>0.04</v>
      </c>
    </row>
    <row r="76">
      <c r="A76" s="7" t="s">
        <v>30</v>
      </c>
      <c r="B76" s="19"/>
      <c r="C76" s="14"/>
      <c r="D76" s="19"/>
      <c r="E76" s="14"/>
      <c r="F76" s="17">
        <v>741.86</v>
      </c>
      <c r="G76" s="7">
        <v>0.09</v>
      </c>
      <c r="H76" s="17">
        <v>1557.04</v>
      </c>
      <c r="I76" s="7">
        <v>0.18</v>
      </c>
      <c r="J76" s="19"/>
      <c r="K76" s="14"/>
      <c r="L76" s="19"/>
      <c r="M76" s="14"/>
      <c r="N76" s="17">
        <v>2298.9</v>
      </c>
      <c r="O76" s="9">
        <v>0.27</v>
      </c>
    </row>
    <row r="77">
      <c r="A77" s="10" t="s">
        <v>15</v>
      </c>
      <c r="B77" s="18"/>
      <c r="C77" s="10"/>
      <c r="D77" s="18"/>
      <c r="E77" s="10"/>
      <c r="F77" s="18"/>
      <c r="G77" s="10"/>
      <c r="H77" s="18">
        <v>1189.38</v>
      </c>
      <c r="I77" s="10">
        <v>0.14</v>
      </c>
      <c r="J77" s="18"/>
      <c r="K77" s="10"/>
      <c r="L77" s="18"/>
      <c r="M77" s="10"/>
      <c r="N77" s="19">
        <v>1189.38</v>
      </c>
      <c r="O77" s="13">
        <v>0.14</v>
      </c>
    </row>
    <row r="78">
      <c r="A78" s="10" t="s">
        <v>16</v>
      </c>
      <c r="B78" s="18"/>
      <c r="C78" s="10"/>
      <c r="D78" s="18"/>
      <c r="E78" s="10"/>
      <c r="F78" s="18">
        <v>741.86</v>
      </c>
      <c r="G78" s="10">
        <v>0.09</v>
      </c>
      <c r="H78" s="18">
        <v>367.66</v>
      </c>
      <c r="I78" s="10">
        <v>0.04</v>
      </c>
      <c r="J78" s="18"/>
      <c r="K78" s="10"/>
      <c r="L78" s="18"/>
      <c r="M78" s="10"/>
      <c r="N78" s="19">
        <v>1109.52</v>
      </c>
      <c r="O78" s="13">
        <v>0.13</v>
      </c>
    </row>
    <row r="79">
      <c r="A79" s="7" t="s">
        <v>31</v>
      </c>
      <c r="B79" s="19"/>
      <c r="C79" s="14"/>
      <c r="D79" s="17">
        <v>475.7</v>
      </c>
      <c r="E79" s="7">
        <v>0.06</v>
      </c>
      <c r="F79" s="17">
        <v>1713.38</v>
      </c>
      <c r="G79" s="7">
        <v>0.2</v>
      </c>
      <c r="H79" s="17">
        <v>2739.82</v>
      </c>
      <c r="I79" s="7">
        <v>0.32</v>
      </c>
      <c r="J79" s="17">
        <v>1272.79</v>
      </c>
      <c r="K79" s="7">
        <v>0.15</v>
      </c>
      <c r="L79" s="17">
        <v>480.54</v>
      </c>
      <c r="M79" s="7">
        <v>0.06</v>
      </c>
      <c r="N79" s="17">
        <v>6682.23</v>
      </c>
      <c r="O79" s="9">
        <v>0.79</v>
      </c>
    </row>
    <row r="80">
      <c r="A80" s="10" t="s">
        <v>13</v>
      </c>
      <c r="B80" s="18"/>
      <c r="C80" s="10"/>
      <c r="D80" s="18"/>
      <c r="E80" s="10"/>
      <c r="F80" s="18">
        <v>520.46</v>
      </c>
      <c r="G80" s="10">
        <v>0.06</v>
      </c>
      <c r="H80" s="18">
        <v>460.03</v>
      </c>
      <c r="I80" s="10">
        <v>0.05</v>
      </c>
      <c r="J80" s="18"/>
      <c r="K80" s="10"/>
      <c r="L80" s="18"/>
      <c r="M80" s="10"/>
      <c r="N80" s="19">
        <v>980.49</v>
      </c>
      <c r="O80" s="13">
        <v>0.11</v>
      </c>
    </row>
    <row r="81">
      <c r="A81" s="10" t="s">
        <v>14</v>
      </c>
      <c r="B81" s="18"/>
      <c r="C81" s="10"/>
      <c r="D81" s="18"/>
      <c r="E81" s="10"/>
      <c r="F81" s="18">
        <v>426.67</v>
      </c>
      <c r="G81" s="10">
        <v>0.05</v>
      </c>
      <c r="H81" s="18">
        <v>1604.82</v>
      </c>
      <c r="I81" s="10">
        <v>0.19</v>
      </c>
      <c r="J81" s="18">
        <v>367.66</v>
      </c>
      <c r="K81" s="10">
        <v>0.04</v>
      </c>
      <c r="L81" s="18"/>
      <c r="M81" s="10"/>
      <c r="N81" s="19">
        <v>2399.15</v>
      </c>
      <c r="O81" s="13">
        <v>0.28</v>
      </c>
    </row>
    <row r="82">
      <c r="A82" s="10" t="s">
        <v>15</v>
      </c>
      <c r="B82" s="18"/>
      <c r="C82" s="10"/>
      <c r="D82" s="18">
        <v>475.7</v>
      </c>
      <c r="E82" s="10">
        <v>0.06</v>
      </c>
      <c r="F82" s="18">
        <v>766.25</v>
      </c>
      <c r="G82" s="10">
        <v>0.09</v>
      </c>
      <c r="H82" s="18">
        <v>272.58</v>
      </c>
      <c r="I82" s="10">
        <v>0.03</v>
      </c>
      <c r="J82" s="18">
        <v>412.33</v>
      </c>
      <c r="K82" s="10">
        <v>0.05</v>
      </c>
      <c r="L82" s="18">
        <v>480.54</v>
      </c>
      <c r="M82" s="10">
        <v>0.06</v>
      </c>
      <c r="N82" s="19">
        <v>2407.4</v>
      </c>
      <c r="O82" s="13">
        <v>0.29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402.39</v>
      </c>
      <c r="I83" s="10">
        <v>0.05</v>
      </c>
      <c r="J83" s="18">
        <v>492.8</v>
      </c>
      <c r="K83" s="10">
        <v>0.06</v>
      </c>
      <c r="L83" s="18"/>
      <c r="M83" s="10"/>
      <c r="N83" s="19">
        <v>895.19</v>
      </c>
      <c r="O83" s="13">
        <v>0.11</v>
      </c>
    </row>
    <row r="84">
      <c r="A84" s="7" t="s">
        <v>32</v>
      </c>
      <c r="B84" s="19"/>
      <c r="C84" s="14"/>
      <c r="D84" s="19"/>
      <c r="E84" s="14"/>
      <c r="F84" s="17">
        <v>1649.89</v>
      </c>
      <c r="G84" s="7">
        <v>0.2</v>
      </c>
      <c r="H84" s="17">
        <v>1333.4</v>
      </c>
      <c r="I84" s="7">
        <v>0.16</v>
      </c>
      <c r="J84" s="17">
        <v>1089.56</v>
      </c>
      <c r="K84" s="7">
        <v>0.12</v>
      </c>
      <c r="L84" s="17">
        <v>708.85</v>
      </c>
      <c r="M84" s="7">
        <v>0.08</v>
      </c>
      <c r="N84" s="17">
        <v>4781.7</v>
      </c>
      <c r="O84" s="9">
        <v>0.56</v>
      </c>
    </row>
    <row r="85">
      <c r="A85" s="10" t="s">
        <v>13</v>
      </c>
      <c r="B85" s="18"/>
      <c r="C85" s="10"/>
      <c r="D85" s="18"/>
      <c r="E85" s="10"/>
      <c r="F85" s="18"/>
      <c r="G85" s="10"/>
      <c r="H85" s="18"/>
      <c r="I85" s="10"/>
      <c r="J85" s="18"/>
      <c r="K85" s="10"/>
      <c r="L85" s="18">
        <v>501.28</v>
      </c>
      <c r="M85" s="10">
        <v>0.06</v>
      </c>
      <c r="N85" s="19">
        <v>501.28</v>
      </c>
      <c r="O85" s="13">
        <v>0.06</v>
      </c>
    </row>
    <row r="86">
      <c r="A86" s="10" t="s">
        <v>14</v>
      </c>
      <c r="B86" s="18"/>
      <c r="C86" s="10"/>
      <c r="D86" s="18"/>
      <c r="E86" s="10"/>
      <c r="F86" s="18">
        <v>574</v>
      </c>
      <c r="G86" s="10">
        <v>0.07</v>
      </c>
      <c r="H86" s="18">
        <v>572</v>
      </c>
      <c r="I86" s="10">
        <v>0.07</v>
      </c>
      <c r="J86" s="18">
        <v>461.95</v>
      </c>
      <c r="K86" s="10">
        <v>0.05</v>
      </c>
      <c r="L86" s="18">
        <v>207.57</v>
      </c>
      <c r="M86" s="10">
        <v>0.02</v>
      </c>
      <c r="N86" s="19">
        <v>1815.52</v>
      </c>
      <c r="O86" s="13">
        <v>0.21</v>
      </c>
    </row>
    <row r="87">
      <c r="A87" s="10" t="s">
        <v>15</v>
      </c>
      <c r="B87" s="18"/>
      <c r="C87" s="10"/>
      <c r="D87" s="18"/>
      <c r="E87" s="10"/>
      <c r="F87" s="18">
        <v>1075.89</v>
      </c>
      <c r="G87" s="10">
        <v>0.13</v>
      </c>
      <c r="H87" s="18">
        <v>364.5</v>
      </c>
      <c r="I87" s="10">
        <v>0.04</v>
      </c>
      <c r="J87" s="18">
        <v>627.61</v>
      </c>
      <c r="K87" s="10">
        <v>0.07</v>
      </c>
      <c r="L87" s="18"/>
      <c r="M87" s="10"/>
      <c r="N87" s="19">
        <v>2068</v>
      </c>
      <c r="O87" s="13">
        <v>0.24</v>
      </c>
    </row>
    <row r="88">
      <c r="A88" s="10" t="s">
        <v>16</v>
      </c>
      <c r="B88" s="18"/>
      <c r="C88" s="10"/>
      <c r="D88" s="18"/>
      <c r="E88" s="10"/>
      <c r="F88" s="18"/>
      <c r="G88" s="10"/>
      <c r="H88" s="18">
        <v>396.9</v>
      </c>
      <c r="I88" s="10">
        <v>0.05</v>
      </c>
      <c r="J88" s="18"/>
      <c r="K88" s="10"/>
      <c r="L88" s="18"/>
      <c r="M88" s="10"/>
      <c r="N88" s="19">
        <v>396.9</v>
      </c>
      <c r="O88" s="13">
        <v>0.05</v>
      </c>
    </row>
    <row r="89">
      <c r="A89" s="7" t="s">
        <v>33</v>
      </c>
      <c r="B89" s="19"/>
      <c r="C89" s="14"/>
      <c r="D89" s="19"/>
      <c r="E89" s="14"/>
      <c r="F89" s="17">
        <v>961.58</v>
      </c>
      <c r="G89" s="7">
        <v>0.11</v>
      </c>
      <c r="H89" s="19"/>
      <c r="I89" s="14"/>
      <c r="J89" s="17">
        <v>454.3</v>
      </c>
      <c r="K89" s="7">
        <v>0.05</v>
      </c>
      <c r="L89" s="19"/>
      <c r="M89" s="14"/>
      <c r="N89" s="17">
        <v>1415.88</v>
      </c>
      <c r="O89" s="9">
        <v>0.16</v>
      </c>
    </row>
    <row r="90">
      <c r="A90" s="10" t="s">
        <v>15</v>
      </c>
      <c r="B90" s="18"/>
      <c r="C90" s="10"/>
      <c r="D90" s="18"/>
      <c r="E90" s="10"/>
      <c r="F90" s="18">
        <v>589.88</v>
      </c>
      <c r="G90" s="10">
        <v>0.07</v>
      </c>
      <c r="H90" s="18"/>
      <c r="I90" s="10"/>
      <c r="J90" s="18"/>
      <c r="K90" s="10"/>
      <c r="L90" s="18"/>
      <c r="M90" s="10"/>
      <c r="N90" s="19">
        <v>589.88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>
        <v>371.7</v>
      </c>
      <c r="G91" s="10">
        <v>0.04</v>
      </c>
      <c r="H91" s="18"/>
      <c r="I91" s="10"/>
      <c r="J91" s="18">
        <v>454.3</v>
      </c>
      <c r="K91" s="10">
        <v>0.05</v>
      </c>
      <c r="L91" s="18"/>
      <c r="M91" s="10"/>
      <c r="N91" s="19">
        <v>826</v>
      </c>
      <c r="O91" s="13">
        <v>0.09</v>
      </c>
    </row>
    <row r="92">
      <c r="A92" s="7" t="s">
        <v>34</v>
      </c>
      <c r="B92" s="19"/>
      <c r="C92" s="14"/>
      <c r="D92" s="19"/>
      <c r="E92" s="14"/>
      <c r="F92" s="17">
        <v>434.28</v>
      </c>
      <c r="G92" s="7">
        <v>0.05</v>
      </c>
      <c r="H92" s="19"/>
      <c r="I92" s="14"/>
      <c r="J92" s="17">
        <v>1935.38</v>
      </c>
      <c r="K92" s="7">
        <v>0.23</v>
      </c>
      <c r="L92" s="19"/>
      <c r="M92" s="14"/>
      <c r="N92" s="17">
        <v>2369.66</v>
      </c>
      <c r="O92" s="9">
        <v>0.28</v>
      </c>
    </row>
    <row r="93">
      <c r="A93" s="10" t="s">
        <v>14</v>
      </c>
      <c r="B93" s="18"/>
      <c r="C93" s="10"/>
      <c r="D93" s="18"/>
      <c r="E93" s="10"/>
      <c r="F93" s="18"/>
      <c r="G93" s="10"/>
      <c r="H93" s="18"/>
      <c r="I93" s="10"/>
      <c r="J93" s="18">
        <v>489.1</v>
      </c>
      <c r="K93" s="10">
        <v>0.06</v>
      </c>
      <c r="L93" s="18"/>
      <c r="M93" s="10"/>
      <c r="N93" s="19">
        <v>489.1</v>
      </c>
      <c r="O93" s="13">
        <v>0.06</v>
      </c>
    </row>
    <row r="94">
      <c r="A94" s="10" t="s">
        <v>16</v>
      </c>
      <c r="B94" s="18"/>
      <c r="C94" s="10"/>
      <c r="D94" s="18"/>
      <c r="E94" s="10"/>
      <c r="F94" s="18">
        <v>434.28</v>
      </c>
      <c r="G94" s="10">
        <v>0.05</v>
      </c>
      <c r="H94" s="18"/>
      <c r="I94" s="10"/>
      <c r="J94" s="18">
        <v>1446.28</v>
      </c>
      <c r="K94" s="10">
        <v>0.17</v>
      </c>
      <c r="L94" s="18"/>
      <c r="M94" s="10"/>
      <c r="N94" s="19">
        <v>1880.56</v>
      </c>
      <c r="O94" s="13">
        <v>0.22</v>
      </c>
    </row>
    <row r="95">
      <c r="A95" s="7" t="s">
        <v>35</v>
      </c>
      <c r="B95" s="19"/>
      <c r="C95" s="14"/>
      <c r="D95" s="19"/>
      <c r="E95" s="14"/>
      <c r="F95" s="17">
        <v>3657.39</v>
      </c>
      <c r="G95" s="7">
        <v>0.43</v>
      </c>
      <c r="H95" s="17">
        <v>17186.01</v>
      </c>
      <c r="I95" s="7">
        <v>2.02</v>
      </c>
      <c r="J95" s="17">
        <v>2923.58</v>
      </c>
      <c r="K95" s="7">
        <v>0.34</v>
      </c>
      <c r="L95" s="17">
        <v>337.01</v>
      </c>
      <c r="M95" s="7">
        <v>0.04</v>
      </c>
      <c r="N95" s="17">
        <v>24103.99</v>
      </c>
      <c r="O95" s="9">
        <v>2.83</v>
      </c>
    </row>
    <row r="96">
      <c r="A96" s="10" t="s">
        <v>14</v>
      </c>
      <c r="B96" s="18"/>
      <c r="C96" s="10"/>
      <c r="D96" s="18"/>
      <c r="E96" s="10"/>
      <c r="F96" s="18">
        <v>1170.94</v>
      </c>
      <c r="G96" s="10">
        <v>0.14</v>
      </c>
      <c r="H96" s="18">
        <v>11674.39</v>
      </c>
      <c r="I96" s="10">
        <v>1.37</v>
      </c>
      <c r="J96" s="18"/>
      <c r="K96" s="10"/>
      <c r="L96" s="18"/>
      <c r="M96" s="10"/>
      <c r="N96" s="19">
        <v>12845.33</v>
      </c>
      <c r="O96" s="13">
        <v>1.51</v>
      </c>
    </row>
    <row r="97">
      <c r="A97" s="10" t="s">
        <v>15</v>
      </c>
      <c r="B97" s="18"/>
      <c r="C97" s="10"/>
      <c r="D97" s="18"/>
      <c r="E97" s="10"/>
      <c r="F97" s="18">
        <v>1564.98</v>
      </c>
      <c r="G97" s="10">
        <v>0.18</v>
      </c>
      <c r="H97" s="18">
        <v>5036.92</v>
      </c>
      <c r="I97" s="10">
        <v>0.59</v>
      </c>
      <c r="J97" s="18">
        <v>1196.87</v>
      </c>
      <c r="K97" s="10">
        <v>0.14</v>
      </c>
      <c r="L97" s="18">
        <v>337.01</v>
      </c>
      <c r="M97" s="10">
        <v>0.04</v>
      </c>
      <c r="N97" s="19">
        <v>8135.78</v>
      </c>
      <c r="O97" s="13">
        <v>0.95</v>
      </c>
    </row>
    <row r="98">
      <c r="A98" s="10" t="s">
        <v>16</v>
      </c>
      <c r="B98" s="18"/>
      <c r="C98" s="10"/>
      <c r="D98" s="18"/>
      <c r="E98" s="10"/>
      <c r="F98" s="18">
        <v>921.47</v>
      </c>
      <c r="G98" s="10">
        <v>0.11</v>
      </c>
      <c r="H98" s="18">
        <v>474.7</v>
      </c>
      <c r="I98" s="10">
        <v>0.06</v>
      </c>
      <c r="J98" s="18">
        <v>1039.27</v>
      </c>
      <c r="K98" s="10">
        <v>0.12</v>
      </c>
      <c r="L98" s="18"/>
      <c r="M98" s="10"/>
      <c r="N98" s="19">
        <v>2435.44</v>
      </c>
      <c r="O98" s="13">
        <v>0.29</v>
      </c>
    </row>
    <row r="99">
      <c r="A99" s="10" t="s">
        <v>17</v>
      </c>
      <c r="B99" s="18"/>
      <c r="C99" s="10"/>
      <c r="D99" s="18"/>
      <c r="E99" s="10"/>
      <c r="F99" s="18"/>
      <c r="G99" s="10"/>
      <c r="H99" s="18"/>
      <c r="I99" s="10"/>
      <c r="J99" s="18">
        <v>687.44</v>
      </c>
      <c r="K99" s="10">
        <v>0.08</v>
      </c>
      <c r="L99" s="18"/>
      <c r="M99" s="10"/>
      <c r="N99" s="19">
        <v>687.44</v>
      </c>
      <c r="O99" s="13">
        <v>0.08</v>
      </c>
    </row>
    <row r="100">
      <c r="A100" s="7" t="s">
        <v>36</v>
      </c>
      <c r="B100" s="19"/>
      <c r="C100" s="14"/>
      <c r="D100" s="19"/>
      <c r="E100" s="14"/>
      <c r="F100" s="17">
        <v>570.24</v>
      </c>
      <c r="G100" s="7">
        <v>0.07</v>
      </c>
      <c r="H100" s="17">
        <v>660.54</v>
      </c>
      <c r="I100" s="7">
        <v>0.08</v>
      </c>
      <c r="J100" s="17">
        <v>1324.34</v>
      </c>
      <c r="K100" s="7">
        <v>0.15</v>
      </c>
      <c r="L100" s="17">
        <v>395.01</v>
      </c>
      <c r="M100" s="7">
        <v>0.05</v>
      </c>
      <c r="N100" s="17">
        <v>2950.13</v>
      </c>
      <c r="O100" s="9">
        <v>0.35</v>
      </c>
    </row>
    <row r="101">
      <c r="A101" s="10" t="s">
        <v>14</v>
      </c>
      <c r="B101" s="18"/>
      <c r="C101" s="10"/>
      <c r="D101" s="18"/>
      <c r="E101" s="10"/>
      <c r="F101" s="18"/>
      <c r="G101" s="10"/>
      <c r="H101" s="18"/>
      <c r="I101" s="10"/>
      <c r="J101" s="18">
        <v>703.03</v>
      </c>
      <c r="K101" s="10">
        <v>0.08</v>
      </c>
      <c r="L101" s="18"/>
      <c r="M101" s="10"/>
      <c r="N101" s="19">
        <v>703.03</v>
      </c>
      <c r="O101" s="13">
        <v>0.08</v>
      </c>
    </row>
    <row r="102">
      <c r="A102" s="10" t="s">
        <v>15</v>
      </c>
      <c r="B102" s="18"/>
      <c r="C102" s="10"/>
      <c r="D102" s="18"/>
      <c r="E102" s="10"/>
      <c r="F102" s="18"/>
      <c r="G102" s="10"/>
      <c r="H102" s="18">
        <v>660.54</v>
      </c>
      <c r="I102" s="10">
        <v>0.08</v>
      </c>
      <c r="J102" s="18">
        <v>621.31</v>
      </c>
      <c r="K102" s="10">
        <v>0.07</v>
      </c>
      <c r="L102" s="18">
        <v>395.01</v>
      </c>
      <c r="M102" s="10">
        <v>0.05</v>
      </c>
      <c r="N102" s="19">
        <v>1676.86</v>
      </c>
      <c r="O102" s="13">
        <v>0.2</v>
      </c>
    </row>
    <row r="103">
      <c r="A103" s="10" t="s">
        <v>16</v>
      </c>
      <c r="B103" s="18"/>
      <c r="C103" s="10"/>
      <c r="D103" s="18"/>
      <c r="E103" s="10"/>
      <c r="F103" s="18">
        <v>570.24</v>
      </c>
      <c r="G103" s="10">
        <v>0.07</v>
      </c>
      <c r="H103" s="18"/>
      <c r="I103" s="10"/>
      <c r="J103" s="18"/>
      <c r="K103" s="10"/>
      <c r="L103" s="18"/>
      <c r="M103" s="10"/>
      <c r="N103" s="19">
        <v>570.24</v>
      </c>
      <c r="O103" s="13">
        <v>0.07</v>
      </c>
    </row>
    <row r="104">
      <c r="A104" s="7" t="s">
        <v>37</v>
      </c>
      <c r="B104" s="19"/>
      <c r="C104" s="14"/>
      <c r="D104" s="19"/>
      <c r="E104" s="14"/>
      <c r="F104" s="19"/>
      <c r="G104" s="14"/>
      <c r="H104" s="17">
        <v>1239.51</v>
      </c>
      <c r="I104" s="7">
        <v>0.14</v>
      </c>
      <c r="J104" s="17">
        <v>652.37</v>
      </c>
      <c r="K104" s="7">
        <v>0.08</v>
      </c>
      <c r="L104" s="17">
        <v>425.32</v>
      </c>
      <c r="M104" s="7">
        <v>0.05</v>
      </c>
      <c r="N104" s="17">
        <v>2317.2</v>
      </c>
      <c r="O104" s="9">
        <v>0.27</v>
      </c>
    </row>
    <row r="105">
      <c r="A105" s="10" t="s">
        <v>14</v>
      </c>
      <c r="B105" s="18"/>
      <c r="C105" s="10"/>
      <c r="D105" s="18"/>
      <c r="E105" s="10"/>
      <c r="F105" s="18"/>
      <c r="G105" s="10"/>
      <c r="H105" s="18">
        <v>781.23</v>
      </c>
      <c r="I105" s="10">
        <v>0.09</v>
      </c>
      <c r="J105" s="18"/>
      <c r="K105" s="10"/>
      <c r="L105" s="18">
        <v>425.32</v>
      </c>
      <c r="M105" s="10">
        <v>0.05</v>
      </c>
      <c r="N105" s="19">
        <v>1206.55</v>
      </c>
      <c r="O105" s="13">
        <v>0.14</v>
      </c>
    </row>
    <row r="106">
      <c r="A106" s="10" t="s">
        <v>15</v>
      </c>
      <c r="B106" s="18"/>
      <c r="C106" s="10"/>
      <c r="D106" s="18"/>
      <c r="E106" s="10"/>
      <c r="F106" s="18"/>
      <c r="G106" s="10"/>
      <c r="H106" s="18">
        <v>458.28</v>
      </c>
      <c r="I106" s="10">
        <v>0.05</v>
      </c>
      <c r="J106" s="18"/>
      <c r="K106" s="10"/>
      <c r="L106" s="18"/>
      <c r="M106" s="10"/>
      <c r="N106" s="19">
        <v>458.28</v>
      </c>
      <c r="O106" s="13">
        <v>0.05</v>
      </c>
    </row>
    <row r="107">
      <c r="A107" s="10" t="s">
        <v>16</v>
      </c>
      <c r="B107" s="18"/>
      <c r="C107" s="10"/>
      <c r="D107" s="18"/>
      <c r="E107" s="10"/>
      <c r="F107" s="18"/>
      <c r="G107" s="10"/>
      <c r="H107" s="18"/>
      <c r="I107" s="10"/>
      <c r="J107" s="18">
        <v>652.37</v>
      </c>
      <c r="K107" s="10">
        <v>0.08</v>
      </c>
      <c r="L107" s="18"/>
      <c r="M107" s="10"/>
      <c r="N107" s="19">
        <v>652.37</v>
      </c>
      <c r="O107" s="13">
        <v>0.08</v>
      </c>
    </row>
    <row r="108">
      <c r="A108" s="7" t="s">
        <v>38</v>
      </c>
      <c r="B108" s="19"/>
      <c r="C108" s="14"/>
      <c r="D108" s="19"/>
      <c r="E108" s="14"/>
      <c r="F108" s="19"/>
      <c r="G108" s="14"/>
      <c r="H108" s="19"/>
      <c r="I108" s="14"/>
      <c r="J108" s="17">
        <v>994.64</v>
      </c>
      <c r="K108" s="7">
        <v>0.12</v>
      </c>
      <c r="L108" s="19"/>
      <c r="M108" s="14"/>
      <c r="N108" s="17">
        <v>994.64</v>
      </c>
      <c r="O108" s="9">
        <v>0.12</v>
      </c>
    </row>
    <row r="109">
      <c r="A109" s="10" t="s">
        <v>15</v>
      </c>
      <c r="B109" s="18"/>
      <c r="C109" s="10"/>
      <c r="D109" s="18"/>
      <c r="E109" s="10"/>
      <c r="F109" s="18"/>
      <c r="G109" s="10"/>
      <c r="H109" s="18"/>
      <c r="I109" s="10"/>
      <c r="J109" s="18">
        <v>994.64</v>
      </c>
      <c r="K109" s="10">
        <v>0.12</v>
      </c>
      <c r="L109" s="18"/>
      <c r="M109" s="10"/>
      <c r="N109" s="19">
        <v>994.64</v>
      </c>
      <c r="O109" s="13">
        <v>0.12</v>
      </c>
    </row>
    <row r="110">
      <c r="A110" s="15" t="s">
        <v>11</v>
      </c>
      <c r="B110" s="20">
        <v>12685.87</v>
      </c>
      <c r="C110" s="15">
        <v>1.49</v>
      </c>
      <c r="D110" s="20">
        <v>192695.74</v>
      </c>
      <c r="E110" s="15">
        <v>22.57</v>
      </c>
      <c r="F110" s="20">
        <v>338004.27</v>
      </c>
      <c r="G110" s="15">
        <v>39.56</v>
      </c>
      <c r="H110" s="20">
        <v>158912.29</v>
      </c>
      <c r="I110" s="15">
        <v>18.61</v>
      </c>
      <c r="J110" s="20">
        <v>63642.5</v>
      </c>
      <c r="K110" s="15">
        <v>7.44</v>
      </c>
      <c r="L110" s="20">
        <v>5656.57</v>
      </c>
      <c r="M110" s="15">
        <v>0.66</v>
      </c>
      <c r="N110" s="20">
        <v>771597.24</v>
      </c>
      <c r="O110" s="15">
        <v>90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6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43</v>
      </c>
    </row>
    <row r="2" ht="25" customHeight="1">
      <c r="A2" s="22" t="s">
        <v>4</v>
      </c>
      <c r="B2" s="22" t="s">
        <v>44</v>
      </c>
      <c r="C2" s="9" t="s">
        <v>3</v>
      </c>
      <c r="D2" s="22" t="s">
        <v>40</v>
      </c>
      <c r="E2" s="9" t="s">
        <v>3</v>
      </c>
      <c r="F2" s="22" t="s">
        <v>45</v>
      </c>
      <c r="G2" s="9" t="s">
        <v>3</v>
      </c>
      <c r="I2" s="22" t="s">
        <v>46</v>
      </c>
      <c r="J2" s="22" t="s">
        <v>44</v>
      </c>
      <c r="K2" s="9" t="s">
        <v>3</v>
      </c>
      <c r="L2" s="22" t="s">
        <v>45</v>
      </c>
      <c r="M2" s="9" t="s">
        <v>3</v>
      </c>
      <c r="O2" s="22" t="s">
        <v>47</v>
      </c>
      <c r="P2" s="22" t="s">
        <v>44</v>
      </c>
      <c r="Q2" s="9" t="s">
        <v>3</v>
      </c>
      <c r="R2" s="22" t="s">
        <v>45</v>
      </c>
      <c r="S2" s="9" t="s">
        <v>3</v>
      </c>
    </row>
    <row r="3">
      <c r="A3" s="10" t="s">
        <v>12</v>
      </c>
      <c r="B3" s="23">
        <v>2915</v>
      </c>
      <c r="C3" s="24">
        <f>IF(B$26&gt;0,(B3/B$26)*100,0)</f>
      </c>
      <c r="D3" s="25">
        <v>3051.73</v>
      </c>
      <c r="E3" s="24">
        <f>IF(D$26&gt;0,(D3/D$26)*100,0)</f>
      </c>
      <c r="F3" s="23">
        <v>284211</v>
      </c>
      <c r="G3" s="24">
        <f>IF(F$26&gt;0,(F3/F$26)*100,0)</f>
      </c>
      <c r="I3" s="10" t="s">
        <v>13</v>
      </c>
      <c r="J3" s="23">
        <v>1794</v>
      </c>
      <c r="K3" s="24">
        <f>IF(J$9&gt;0,(J3/J$9)*100,0)</f>
      </c>
      <c r="L3" s="23">
        <v>214461</v>
      </c>
      <c r="M3" s="24">
        <f>IF(L$9&gt;0,(L3/L$9)*100,0)</f>
      </c>
      <c r="O3" s="10" t="s">
        <v>5</v>
      </c>
      <c r="P3" s="23">
        <v>69</v>
      </c>
      <c r="Q3" s="24">
        <f>IF(P$9&gt;0,(P3/P$9)*100,0)</f>
      </c>
      <c r="R3" s="23">
        <v>12686</v>
      </c>
      <c r="S3" s="24">
        <f>IF(R$9&gt;0,(R3/R$9)*100,0)</f>
      </c>
    </row>
    <row r="4">
      <c r="A4" s="10" t="s">
        <v>19</v>
      </c>
      <c r="B4" s="23">
        <v>141</v>
      </c>
      <c r="C4" s="24">
        <f>IF(B$26&gt;0,(B4/B$26)*100,0)</f>
      </c>
      <c r="D4" s="25">
        <v>160.31</v>
      </c>
      <c r="E4" s="24">
        <f>IF(D$26&gt;0,(D4/D$26)*100,0)</f>
      </c>
      <c r="F4" s="23">
        <v>15340</v>
      </c>
      <c r="G4" s="24">
        <f>IF(F$26&gt;0,(F4/F$26)*100,0)</f>
      </c>
      <c r="I4" s="10" t="s">
        <v>14</v>
      </c>
      <c r="J4" s="23">
        <v>2120</v>
      </c>
      <c r="K4" s="24">
        <f>IF(J$9&gt;0,(J4/J$9)*100,0)</f>
      </c>
      <c r="L4" s="23">
        <v>281593</v>
      </c>
      <c r="M4" s="24">
        <f>IF(L$9&gt;0,(L4/L$9)*100,0)</f>
      </c>
      <c r="O4" s="10" t="s">
        <v>6</v>
      </c>
      <c r="P4" s="23">
        <v>1656</v>
      </c>
      <c r="Q4" s="24">
        <f>IF(P$9&gt;0,(P4/P$9)*100,0)</f>
      </c>
      <c r="R4" s="23">
        <v>192606</v>
      </c>
      <c r="S4" s="24">
        <f>IF(R$9&gt;0,(R4/R$9)*100,0)</f>
      </c>
    </row>
    <row r="5">
      <c r="A5" s="10" t="s">
        <v>20</v>
      </c>
      <c r="B5" s="23">
        <v>704</v>
      </c>
      <c r="C5" s="24">
        <f>IF(B$26&gt;0,(B5/B$26)*100,0)</f>
      </c>
      <c r="D5" s="25">
        <v>871.48</v>
      </c>
      <c r="E5" s="24">
        <f>IF(D$26&gt;0,(D5/D$26)*100,0)</f>
      </c>
      <c r="F5" s="23">
        <v>71976</v>
      </c>
      <c r="G5" s="24">
        <f>IF(F$26&gt;0,(F5/F$26)*100,0)</f>
      </c>
      <c r="I5" s="10" t="s">
        <v>15</v>
      </c>
      <c r="J5" s="23">
        <v>1683</v>
      </c>
      <c r="K5" s="24">
        <f>IF(J$9&gt;0,(J5/J$9)*100,0)</f>
      </c>
      <c r="L5" s="23">
        <v>219881</v>
      </c>
      <c r="M5" s="24">
        <f>IF(L$9&gt;0,(L5/L$9)*100,0)</f>
      </c>
      <c r="O5" s="10" t="s">
        <v>7</v>
      </c>
      <c r="P5" s="23">
        <v>2835</v>
      </c>
      <c r="Q5" s="24">
        <f>IF(P$9&gt;0,(P5/P$9)*100,0)</f>
      </c>
      <c r="R5" s="23">
        <v>356912</v>
      </c>
      <c r="S5" s="24">
        <f>IF(R$9&gt;0,(R5/R$9)*100,0)</f>
      </c>
    </row>
    <row r="6">
      <c r="A6" s="10" t="s">
        <v>21</v>
      </c>
      <c r="B6" s="23">
        <v>51</v>
      </c>
      <c r="C6" s="24">
        <f>IF(B$26&gt;0,(B6/B$26)*100,0)</f>
      </c>
      <c r="D6" s="25">
        <v>70.66</v>
      </c>
      <c r="E6" s="24">
        <f>IF(D$26&gt;0,(D6/D$26)*100,0)</f>
      </c>
      <c r="F6" s="23">
        <v>6691</v>
      </c>
      <c r="G6" s="24">
        <f>IF(F$26&gt;0,(F6/F$26)*100,0)</f>
      </c>
      <c r="I6" s="10" t="s">
        <v>16</v>
      </c>
      <c r="J6" s="23">
        <v>339</v>
      </c>
      <c r="K6" s="24">
        <f>IF(J$9&gt;0,(J6/J$9)*100,0)</f>
      </c>
      <c r="L6" s="23">
        <v>45557</v>
      </c>
      <c r="M6" s="24">
        <f>IF(L$9&gt;0,(L6/L$9)*100,0)</f>
      </c>
      <c r="O6" s="10" t="s">
        <v>8</v>
      </c>
      <c r="P6" s="23">
        <v>1183</v>
      </c>
      <c r="Q6" s="24">
        <f>IF(P$9&gt;0,(P6/P$9)*100,0)</f>
      </c>
      <c r="R6" s="23">
        <v>205868</v>
      </c>
      <c r="S6" s="24">
        <f>IF(R$9&gt;0,(R6/R$9)*100,0)</f>
      </c>
    </row>
    <row r="7">
      <c r="A7" s="10" t="s">
        <v>22</v>
      </c>
      <c r="B7" s="23">
        <v>1720</v>
      </c>
      <c r="C7" s="24">
        <f>IF(B$26&gt;0,(B7/B$26)*100,0)</f>
      </c>
      <c r="D7" s="25">
        <v>2627.13</v>
      </c>
      <c r="E7" s="24">
        <f>IF(D$26&gt;0,(D7/D$26)*100,0)</f>
      </c>
      <c r="F7" s="23">
        <v>252038</v>
      </c>
      <c r="G7" s="24">
        <f>IF(F$26&gt;0,(F7/F$26)*100,0)</f>
      </c>
      <c r="I7" s="10" t="s">
        <v>17</v>
      </c>
      <c r="J7" s="23">
        <v>45</v>
      </c>
      <c r="K7" s="24">
        <f>IF(J$9&gt;0,(J7/J$9)*100,0)</f>
      </c>
      <c r="L7" s="23">
        <v>5227</v>
      </c>
      <c r="M7" s="24">
        <f>IF(L$9&gt;0,(L7/L$9)*100,0)</f>
      </c>
      <c r="O7" s="10" t="s">
        <v>9</v>
      </c>
      <c r="P7" s="23">
        <v>460</v>
      </c>
      <c r="Q7" s="24">
        <f>IF(P$9&gt;0,(P7/P$9)*100,0)</f>
      </c>
      <c r="R7" s="23">
        <v>75540</v>
      </c>
      <c r="S7" s="24">
        <f>IF(R$9&gt;0,(R7/R$9)*100,0)</f>
      </c>
    </row>
    <row r="8">
      <c r="A8" s="10" t="s">
        <v>23</v>
      </c>
      <c r="B8" s="23">
        <v>43</v>
      </c>
      <c r="C8" s="24">
        <f>IF(B$26&gt;0,(B8/B$26)*100,0)</f>
      </c>
      <c r="D8" s="25">
        <v>69.59</v>
      </c>
      <c r="E8" s="24">
        <f>IF(D$26&gt;0,(D8/D$26)*100,0)</f>
      </c>
      <c r="F8" s="23">
        <v>6578</v>
      </c>
      <c r="G8" s="24">
        <f>IF(F$26&gt;0,(F8/F$26)*100,0)</f>
      </c>
      <c r="I8" s="10" t="s">
        <v>18</v>
      </c>
      <c r="J8" s="23">
        <v>4</v>
      </c>
      <c r="K8" s="24">
        <f>IF(J$9&gt;0,(J8/J$9)*100,0)</f>
      </c>
      <c r="L8" s="23">
        <v>363</v>
      </c>
      <c r="M8" s="24">
        <f>IF(L$9&gt;0,(L8/L$9)*100,0)</f>
      </c>
      <c r="O8" s="10" t="s">
        <v>10</v>
      </c>
      <c r="P8" s="23">
        <v>41</v>
      </c>
      <c r="Q8" s="24">
        <f>IF(P$9&gt;0,(P8/P$9)*100,0)</f>
      </c>
      <c r="R8" s="23">
        <v>5820</v>
      </c>
      <c r="S8" s="24">
        <f>IF(R$9&gt;0,(R8/R$9)*100,0)</f>
      </c>
    </row>
    <row r="9">
      <c r="A9" s="10" t="s">
        <v>24</v>
      </c>
      <c r="B9" s="23">
        <v>64</v>
      </c>
      <c r="C9" s="24">
        <f>IF(B$26&gt;0,(B9/B$26)*100,0)</f>
      </c>
      <c r="D9" s="25">
        <v>115.35</v>
      </c>
      <c r="E9" s="24">
        <f>IF(D$26&gt;0,(D9/D$26)*100,0)</f>
      </c>
      <c r="F9" s="23">
        <v>11495</v>
      </c>
      <c r="G9" s="24">
        <f>IF(F$26&gt;0,(F9/F$26)*100,0)</f>
      </c>
      <c r="I9" s="9" t="s">
        <v>11</v>
      </c>
      <c r="J9" s="26">
        <f>SUM(J3:J8)</f>
      </c>
      <c r="K9" s="27">
        <f>SUM(K3:K8)</f>
      </c>
      <c r="L9" s="26">
        <f>SUM(L3:L8)</f>
      </c>
      <c r="M9" s="27">
        <f>SUM(M3:M8)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25</v>
      </c>
      <c r="B10" s="23">
        <v>276</v>
      </c>
      <c r="C10" s="24">
        <f>IF(B$26&gt;0,(B10/B$26)*100,0)</f>
      </c>
      <c r="D10" s="25">
        <v>561.86</v>
      </c>
      <c r="E10" s="24">
        <f>IF(D$26&gt;0,(D10/D$26)*100,0)</f>
      </c>
      <c r="F10" s="23">
        <v>58499</v>
      </c>
      <c r="G10" s="24">
        <f>IF(F$26&gt;0,(F10/F$26)*100,0)</f>
      </c>
    </row>
    <row r="11">
      <c r="A11" s="10" t="s">
        <v>26</v>
      </c>
      <c r="B11" s="23">
        <v>45</v>
      </c>
      <c r="C11" s="24">
        <f>IF(B$26&gt;0,(B11/B$26)*100,0)</f>
      </c>
      <c r="D11" s="25">
        <v>99.07</v>
      </c>
      <c r="E11" s="24">
        <f>IF(D$26&gt;0,(D11/D$26)*100,0)</f>
      </c>
      <c r="F11" s="23">
        <v>11159</v>
      </c>
      <c r="G11" s="24">
        <f>IF(F$26&gt;0,(F11/F$26)*100,0)</f>
      </c>
    </row>
    <row r="12">
      <c r="A12" s="10" t="s">
        <v>27</v>
      </c>
      <c r="B12" s="23">
        <v>50</v>
      </c>
      <c r="C12" s="24">
        <f>IF(B$26&gt;0,(B12/B$26)*100,0)</f>
      </c>
      <c r="D12" s="25">
        <v>126.78</v>
      </c>
      <c r="E12" s="24">
        <f>IF(D$26&gt;0,(D12/D$26)*100,0)</f>
      </c>
      <c r="F12" s="23">
        <v>13231</v>
      </c>
      <c r="G12" s="24">
        <f>IF(F$26&gt;0,(F12/F$26)*100,0)</f>
      </c>
      <c r="P12" s="22" t="s">
        <v>48</v>
      </c>
      <c r="Q12" s="10"/>
      <c r="R12" s="10"/>
      <c r="S12" s="9" t="s">
        <v>3</v>
      </c>
    </row>
    <row r="13">
      <c r="A13" s="10" t="s">
        <v>28</v>
      </c>
      <c r="B13" s="23">
        <v>12</v>
      </c>
      <c r="C13" s="24">
        <f>IF(B$26&gt;0,(B13/B$26)*100,0)</f>
      </c>
      <c r="D13" s="25">
        <v>33.45</v>
      </c>
      <c r="E13" s="24">
        <f>IF(D$26&gt;0,(D13/D$26)*100,0)</f>
      </c>
      <c r="F13" s="23">
        <v>4227</v>
      </c>
      <c r="G13" s="24">
        <f>IF(F$26&gt;0,(F13/F$26)*100,0)</f>
      </c>
      <c r="P13" s="3" t="s">
        <v>49</v>
      </c>
      <c r="Q13" s="10"/>
      <c r="R13" s="25">
        <v>348028</v>
      </c>
      <c r="S13" s="24">
        <f>IF(R$15&gt;0,(R13/R$15)*100,0)</f>
      </c>
    </row>
    <row r="14">
      <c r="A14" s="10" t="s">
        <v>29</v>
      </c>
      <c r="B14" s="23">
        <v>62</v>
      </c>
      <c r="C14" s="24">
        <f>IF(B$26&gt;0,(B14/B$26)*100,0)</f>
      </c>
      <c r="D14" s="25">
        <v>188.71</v>
      </c>
      <c r="E14" s="24">
        <f>IF(D$26&gt;0,(D14/D$26)*100,0)</f>
      </c>
      <c r="F14" s="23">
        <v>21220</v>
      </c>
      <c r="G14" s="24">
        <f>IF(F$26&gt;0,(F14/F$26)*100,0)</f>
      </c>
      <c r="P14" s="3" t="s">
        <v>50</v>
      </c>
      <c r="Q14" s="10"/>
      <c r="R14" s="25">
        <v>501404</v>
      </c>
      <c r="S14" s="24">
        <f>IF(R$15&gt;0,(R14/R$15)*100,0)</f>
      </c>
    </row>
    <row r="15">
      <c r="A15" s="10" t="s">
        <v>30</v>
      </c>
      <c r="B15" s="23">
        <v>21</v>
      </c>
      <c r="C15" s="24">
        <f>IF(B$26&gt;0,(B15/B$26)*100,0)</f>
      </c>
      <c r="D15" s="25">
        <v>67.03</v>
      </c>
      <c r="E15" s="24">
        <f>IF(D$26&gt;0,(D15/D$26)*100,0)</f>
      </c>
      <c r="F15" s="23">
        <v>8263</v>
      </c>
      <c r="G15" s="24">
        <f>IF(F$26&gt;0,(F15/F$26)*100,0)</f>
      </c>
      <c r="P15" s="10" t="s">
        <v>51</v>
      </c>
      <c r="Q15" s="10"/>
      <c r="R15" s="29">
        <f>SUM(R13:R14)</f>
      </c>
      <c r="S15" s="30">
        <f>SUM(S13:S14)</f>
      </c>
    </row>
    <row r="16">
      <c r="A16" s="10" t="s">
        <v>31</v>
      </c>
      <c r="B16" s="23">
        <v>20</v>
      </c>
      <c r="C16" s="24">
        <f>IF(B$26&gt;0,(B16/B$26)*100,0)</f>
      </c>
      <c r="D16" s="25">
        <v>70.84</v>
      </c>
      <c r="E16" s="24">
        <f>IF(D$26&gt;0,(D16/D$26)*100,0)</f>
      </c>
      <c r="F16" s="23">
        <v>8050</v>
      </c>
      <c r="G16" s="24">
        <f>IF(F$26&gt;0,(F16/F$26)*100,0)</f>
      </c>
    </row>
    <row r="17">
      <c r="A17" s="10" t="s">
        <v>52</v>
      </c>
      <c r="B17" s="23">
        <v>2</v>
      </c>
      <c r="C17" s="24">
        <f>IF(B$26&gt;0,(B17/B$26)*100,0)</f>
      </c>
      <c r="D17" s="25">
        <v>7.34</v>
      </c>
      <c r="E17" s="24">
        <f>IF(D$26&gt;0,(D17/D$26)*100,0)</f>
      </c>
      <c r="F17" s="23">
        <v>851</v>
      </c>
      <c r="G17" s="24">
        <f>IF(F$26&gt;0,(F17/F$26)*100,0)</f>
      </c>
    </row>
    <row r="18">
      <c r="A18" s="10" t="s">
        <v>32</v>
      </c>
      <c r="B18" s="23">
        <v>16</v>
      </c>
      <c r="C18" s="24">
        <f>IF(B$26&gt;0,(B18/B$26)*100,0)</f>
      </c>
      <c r="D18" s="25">
        <v>64.86</v>
      </c>
      <c r="E18" s="24">
        <f>IF(D$26&gt;0,(D18/D$26)*100,0)</f>
      </c>
      <c r="F18" s="23">
        <v>6630</v>
      </c>
      <c r="G18" s="24">
        <f>IF(F$26&gt;0,(F18/F$26)*100,0)</f>
      </c>
    </row>
    <row r="19">
      <c r="A19" s="10" t="s">
        <v>33</v>
      </c>
      <c r="B19" s="23">
        <v>7</v>
      </c>
      <c r="C19" s="24">
        <f>IF(B$26&gt;0,(B19/B$26)*100,0)</f>
      </c>
      <c r="D19" s="25">
        <v>29.59</v>
      </c>
      <c r="E19" s="24">
        <f>IF(D$26&gt;0,(D19/D$26)*100,0)</f>
      </c>
      <c r="F19" s="23">
        <v>3671</v>
      </c>
      <c r="G19" s="24">
        <f>IF(F$26&gt;0,(F19/F$26)*100,0)</f>
      </c>
    </row>
    <row r="20">
      <c r="A20" s="10" t="s">
        <v>34</v>
      </c>
      <c r="B20" s="23">
        <v>10</v>
      </c>
      <c r="C20" s="24">
        <f>IF(B$26&gt;0,(B20/B$26)*100,0)</f>
      </c>
      <c r="D20" s="25">
        <v>47.39</v>
      </c>
      <c r="E20" s="24">
        <f>IF(D$26&gt;0,(D20/D$26)*100,0)</f>
      </c>
      <c r="F20" s="23">
        <v>5924</v>
      </c>
      <c r="G20" s="24">
        <f>IF(F$26&gt;0,(F20/F$26)*100,0)</f>
      </c>
    </row>
    <row r="21">
      <c r="A21" s="10" t="s">
        <v>35</v>
      </c>
      <c r="B21" s="23">
        <v>56</v>
      </c>
      <c r="C21" s="24">
        <f>IF(B$26&gt;0,(B21/B$26)*100,0)</f>
      </c>
      <c r="D21" s="25">
        <v>282.78</v>
      </c>
      <c r="E21" s="24">
        <f>IF(D$26&gt;0,(D21/D$26)*100,0)</f>
      </c>
      <c r="F21" s="23">
        <v>32017</v>
      </c>
      <c r="G21" s="24">
        <f>IF(F$26&gt;0,(F21/F$26)*100,0)</f>
      </c>
    </row>
    <row r="22">
      <c r="A22" s="10" t="s">
        <v>36</v>
      </c>
      <c r="B22" s="23">
        <v>15</v>
      </c>
      <c r="C22" s="24">
        <f>IF(B$26&gt;0,(B22/B$26)*100,0)</f>
      </c>
      <c r="D22" s="25">
        <v>79.81</v>
      </c>
      <c r="E22" s="24">
        <f>IF(D$26&gt;0,(D22/D$26)*100,0)</f>
      </c>
      <c r="F22" s="23">
        <v>10861</v>
      </c>
      <c r="G22" s="24">
        <f>IF(F$26&gt;0,(F22/F$26)*100,0)</f>
      </c>
    </row>
    <row r="23">
      <c r="A23" s="10" t="s">
        <v>37</v>
      </c>
      <c r="B23" s="23">
        <v>11</v>
      </c>
      <c r="C23" s="24">
        <f>IF(B$26&gt;0,(B23/B$26)*100,0)</f>
      </c>
      <c r="D23" s="25">
        <v>67.91</v>
      </c>
      <c r="E23" s="24">
        <f>IF(D$26&gt;0,(D23/D$26)*100,0)</f>
      </c>
      <c r="F23" s="23">
        <v>9146</v>
      </c>
      <c r="G23" s="24">
        <f>IF(F$26&gt;0,(F23/F$26)*100,0)</f>
      </c>
    </row>
    <row r="24">
      <c r="A24" s="10" t="s">
        <v>38</v>
      </c>
      <c r="B24" s="23">
        <v>1</v>
      </c>
      <c r="C24" s="24">
        <f>IF(B$26&gt;0,(B24/B$26)*100,0)</f>
      </c>
      <c r="D24" s="25">
        <v>7.55</v>
      </c>
      <c r="E24" s="24">
        <f>IF(D$26&gt;0,(D24/D$26)*100,0)</f>
      </c>
      <c r="F24" s="23">
        <v>995</v>
      </c>
      <c r="G24" s="24">
        <f>IF(F$26&gt;0,(F24/F$26)*100,0)</f>
      </c>
    </row>
    <row r="25">
      <c r="A25" s="10" t="s">
        <v>53</v>
      </c>
      <c r="B25" s="23">
        <v>2</v>
      </c>
      <c r="C25" s="24">
        <f>IF(B$26&gt;0,(B25/B$26)*100,0)</f>
      </c>
      <c r="D25" s="25">
        <v>18.73</v>
      </c>
      <c r="E25" s="24">
        <f>IF(D$26&gt;0,(D25/D$26)*100,0)</f>
      </c>
      <c r="F25" s="23">
        <v>6357</v>
      </c>
      <c r="G25" s="24">
        <f>IF(F$26&gt;0,(F25/F$26)*100,0)</f>
      </c>
    </row>
    <row r="26">
      <c r="A26" s="9" t="s">
        <v>11</v>
      </c>
      <c r="B26" s="26">
        <f>SUM(B3:B25)</f>
      </c>
      <c r="C26" s="27">
        <f>SUM(C3:C25)</f>
      </c>
      <c r="D26" s="28">
        <f>SUM(D3:D25)</f>
      </c>
      <c r="E26" s="27">
        <f>SUM(E3:E25)</f>
      </c>
      <c r="F26" s="26">
        <f>SUM(F3:F25)</f>
      </c>
      <c r="G26" s="27">
        <f>SUM(G3:G25)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54</v>
      </c>
    </row>
    <row r="2">
      <c r="A2" s="10"/>
      <c r="B2" s="31" t="s">
        <v>55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57</v>
      </c>
      <c r="AA2" s="33" t="s">
        <v>58</v>
      </c>
      <c r="AB2" s="33" t="s">
        <v>59</v>
      </c>
      <c r="AC2" s="33" t="s">
        <v>60</v>
      </c>
    </row>
    <row r="3">
      <c r="A3" s="10"/>
      <c r="B3" s="33" t="s">
        <v>61</v>
      </c>
      <c r="C3" s="10"/>
      <c r="D3" s="10"/>
      <c r="E3" s="10"/>
      <c r="F3" s="10"/>
      <c r="G3" s="10"/>
      <c r="H3" s="33" t="s">
        <v>62</v>
      </c>
      <c r="I3" s="10"/>
      <c r="J3" s="10"/>
      <c r="K3" s="10"/>
      <c r="L3" s="10"/>
      <c r="M3" s="10"/>
      <c r="N3" s="33" t="s">
        <v>61</v>
      </c>
      <c r="O3" s="10"/>
      <c r="P3" s="10"/>
      <c r="Q3" s="10"/>
      <c r="R3" s="10"/>
      <c r="S3" s="10"/>
      <c r="T3" s="33" t="s">
        <v>62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49</v>
      </c>
      <c r="C4" s="10"/>
      <c r="D4" s="10"/>
      <c r="E4" s="35" t="s">
        <v>50</v>
      </c>
      <c r="F4" s="10"/>
      <c r="G4" s="10"/>
      <c r="H4" s="34" t="s">
        <v>49</v>
      </c>
      <c r="I4" s="10"/>
      <c r="J4" s="10"/>
      <c r="K4" s="35" t="s">
        <v>50</v>
      </c>
      <c r="L4" s="10"/>
      <c r="M4" s="10"/>
      <c r="N4" s="34" t="s">
        <v>49</v>
      </c>
      <c r="O4" s="10"/>
      <c r="P4" s="10"/>
      <c r="Q4" s="35" t="s">
        <v>50</v>
      </c>
      <c r="R4" s="10"/>
      <c r="S4" s="10"/>
      <c r="T4" s="34" t="s">
        <v>49</v>
      </c>
      <c r="U4" s="10"/>
      <c r="V4" s="10"/>
      <c r="W4" s="35" t="s">
        <v>50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44</v>
      </c>
      <c r="C5" s="33" t="s">
        <v>40</v>
      </c>
      <c r="D5" s="33" t="s">
        <v>45</v>
      </c>
      <c r="E5" s="33" t="s">
        <v>44</v>
      </c>
      <c r="F5" s="33" t="s">
        <v>40</v>
      </c>
      <c r="G5" s="33" t="s">
        <v>45</v>
      </c>
      <c r="H5" s="33" t="s">
        <v>44</v>
      </c>
      <c r="I5" s="33" t="s">
        <v>40</v>
      </c>
      <c r="J5" s="33" t="s">
        <v>45</v>
      </c>
      <c r="K5" s="33" t="s">
        <v>44</v>
      </c>
      <c r="L5" s="33" t="s">
        <v>40</v>
      </c>
      <c r="M5" s="33" t="s">
        <v>45</v>
      </c>
      <c r="N5" s="33" t="s">
        <v>44</v>
      </c>
      <c r="O5" s="33" t="s">
        <v>40</v>
      </c>
      <c r="P5" s="33" t="s">
        <v>45</v>
      </c>
      <c r="Q5" s="33" t="s">
        <v>44</v>
      </c>
      <c r="R5" s="33" t="s">
        <v>40</v>
      </c>
      <c r="S5" s="33" t="s">
        <v>45</v>
      </c>
      <c r="T5" s="33" t="s">
        <v>44</v>
      </c>
      <c r="U5" s="33" t="s">
        <v>40</v>
      </c>
      <c r="V5" s="33" t="s">
        <v>45</v>
      </c>
      <c r="W5" s="33" t="s">
        <v>44</v>
      </c>
      <c r="X5" s="33" t="s">
        <v>40</v>
      </c>
      <c r="Y5" s="33" t="s">
        <v>45</v>
      </c>
      <c r="Z5" s="10"/>
      <c r="AA5" s="10"/>
      <c r="AB5" s="10"/>
      <c r="AC5" s="10"/>
    </row>
    <row r="6">
      <c r="A6" s="3" t="s">
        <v>12</v>
      </c>
      <c r="B6" s="36">
        <v>804</v>
      </c>
      <c r="C6" s="37">
        <v>837.41</v>
      </c>
      <c r="D6" s="36">
        <v>76960</v>
      </c>
      <c r="E6" s="36">
        <v>951</v>
      </c>
      <c r="F6" s="37">
        <v>1000.08</v>
      </c>
      <c r="G6" s="36">
        <v>87954</v>
      </c>
      <c r="H6" s="10"/>
      <c r="I6" s="10"/>
      <c r="J6" s="10"/>
      <c r="K6" s="36">
        <v>32</v>
      </c>
      <c r="L6" s="37">
        <v>33.68</v>
      </c>
      <c r="M6" s="36">
        <v>3155</v>
      </c>
      <c r="N6" s="36">
        <v>463</v>
      </c>
      <c r="O6" s="37">
        <v>480.93</v>
      </c>
      <c r="P6" s="36">
        <v>46633</v>
      </c>
      <c r="Q6" s="36">
        <v>664</v>
      </c>
      <c r="R6" s="37">
        <v>698.53</v>
      </c>
      <c r="S6" s="36">
        <v>69379</v>
      </c>
      <c r="T6" s="10"/>
      <c r="U6" s="10"/>
      <c r="V6" s="10"/>
      <c r="W6" s="36">
        <v>1</v>
      </c>
      <c r="X6" s="37">
        <v>1.1</v>
      </c>
      <c r="Y6" s="36">
        <v>130</v>
      </c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19</v>
      </c>
      <c r="B7" s="36">
        <v>12</v>
      </c>
      <c r="C7" s="37">
        <v>13.77</v>
      </c>
      <c r="D7" s="36">
        <v>1187</v>
      </c>
      <c r="E7" s="36">
        <v>38</v>
      </c>
      <c r="F7" s="37">
        <v>43.44</v>
      </c>
      <c r="G7" s="36">
        <v>3566</v>
      </c>
      <c r="H7" s="10"/>
      <c r="I7" s="10"/>
      <c r="J7" s="10"/>
      <c r="K7" s="36">
        <v>17</v>
      </c>
      <c r="L7" s="37">
        <v>19.46</v>
      </c>
      <c r="M7" s="36">
        <v>1853</v>
      </c>
      <c r="N7" s="36">
        <v>19</v>
      </c>
      <c r="O7" s="37">
        <v>21.5</v>
      </c>
      <c r="P7" s="36">
        <v>2433</v>
      </c>
      <c r="Q7" s="36">
        <v>55</v>
      </c>
      <c r="R7" s="37">
        <v>62.14</v>
      </c>
      <c r="S7" s="36">
        <v>6300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20</v>
      </c>
      <c r="B8" s="36">
        <v>254</v>
      </c>
      <c r="C8" s="37">
        <v>312.23</v>
      </c>
      <c r="D8" s="36">
        <v>26251</v>
      </c>
      <c r="E8" s="36">
        <v>419</v>
      </c>
      <c r="F8" s="37">
        <v>520.25</v>
      </c>
      <c r="G8" s="36">
        <v>42009</v>
      </c>
      <c r="H8" s="10"/>
      <c r="I8" s="10"/>
      <c r="J8" s="10"/>
      <c r="K8" s="36">
        <v>9</v>
      </c>
      <c r="L8" s="37">
        <v>11.39</v>
      </c>
      <c r="M8" s="36">
        <v>1086</v>
      </c>
      <c r="N8" s="36">
        <v>2</v>
      </c>
      <c r="O8" s="37">
        <v>2.48</v>
      </c>
      <c r="P8" s="36">
        <v>257</v>
      </c>
      <c r="Q8" s="36">
        <v>20</v>
      </c>
      <c r="R8" s="37">
        <v>25.13</v>
      </c>
      <c r="S8" s="36">
        <v>2373</v>
      </c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6</v>
      </c>
      <c r="C9" s="37">
        <v>8.42</v>
      </c>
      <c r="D9" s="36">
        <v>693</v>
      </c>
      <c r="E9" s="36">
        <v>4</v>
      </c>
      <c r="F9" s="37">
        <v>5.55</v>
      </c>
      <c r="G9" s="36">
        <v>447</v>
      </c>
      <c r="H9" s="10"/>
      <c r="I9" s="10"/>
      <c r="J9" s="10"/>
      <c r="K9" s="36">
        <v>16</v>
      </c>
      <c r="L9" s="37">
        <v>22.56</v>
      </c>
      <c r="M9" s="36">
        <v>2081</v>
      </c>
      <c r="N9" s="36">
        <v>1</v>
      </c>
      <c r="O9" s="37">
        <v>1.37</v>
      </c>
      <c r="P9" s="36">
        <v>145</v>
      </c>
      <c r="Q9" s="36">
        <v>23</v>
      </c>
      <c r="R9" s="37">
        <v>31.36</v>
      </c>
      <c r="S9" s="36">
        <v>3170</v>
      </c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663</v>
      </c>
      <c r="C10" s="37">
        <v>1011.39</v>
      </c>
      <c r="D10" s="36">
        <v>94028</v>
      </c>
      <c r="E10" s="36">
        <v>355</v>
      </c>
      <c r="F10" s="37">
        <v>544.36</v>
      </c>
      <c r="G10" s="36">
        <v>51226</v>
      </c>
      <c r="H10" s="10"/>
      <c r="I10" s="10"/>
      <c r="J10" s="10"/>
      <c r="K10" s="36">
        <v>20</v>
      </c>
      <c r="L10" s="37">
        <v>30.73</v>
      </c>
      <c r="M10" s="36">
        <v>3031</v>
      </c>
      <c r="N10" s="36">
        <v>425</v>
      </c>
      <c r="O10" s="37">
        <v>647.41</v>
      </c>
      <c r="P10" s="36">
        <v>63848</v>
      </c>
      <c r="Q10" s="36">
        <v>255</v>
      </c>
      <c r="R10" s="37">
        <v>390.14</v>
      </c>
      <c r="S10" s="36">
        <v>39541</v>
      </c>
      <c r="T10" s="10"/>
      <c r="U10" s="10"/>
      <c r="V10" s="10"/>
      <c r="W10" s="36">
        <v>2</v>
      </c>
      <c r="X10" s="37">
        <v>3.1</v>
      </c>
      <c r="Y10" s="36">
        <v>365</v>
      </c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23</v>
      </c>
      <c r="B11" s="36">
        <v>7</v>
      </c>
      <c r="C11" s="37">
        <v>11.23</v>
      </c>
      <c r="D11" s="36">
        <v>951</v>
      </c>
      <c r="E11" s="36">
        <v>10</v>
      </c>
      <c r="F11" s="37">
        <v>16.15</v>
      </c>
      <c r="G11" s="36">
        <v>1357</v>
      </c>
      <c r="H11" s="10"/>
      <c r="I11" s="10"/>
      <c r="J11" s="10"/>
      <c r="K11" s="36">
        <v>9</v>
      </c>
      <c r="L11" s="37">
        <v>14.78</v>
      </c>
      <c r="M11" s="36">
        <v>1444</v>
      </c>
      <c r="N11" s="36">
        <v>1</v>
      </c>
      <c r="O11" s="37">
        <v>1.6</v>
      </c>
      <c r="P11" s="36">
        <v>158</v>
      </c>
      <c r="Q11" s="36">
        <v>16</v>
      </c>
      <c r="R11" s="37">
        <v>25.83</v>
      </c>
      <c r="S11" s="36">
        <v>2668</v>
      </c>
      <c r="T11" s="10"/>
      <c r="U11" s="10"/>
      <c r="V11" s="10"/>
      <c r="W11" s="10"/>
      <c r="X11" s="10"/>
      <c r="Y11" s="10"/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36">
        <v>22</v>
      </c>
      <c r="L12" s="37">
        <v>39.51</v>
      </c>
      <c r="M12" s="36">
        <v>3779</v>
      </c>
      <c r="N12" s="36">
        <v>3</v>
      </c>
      <c r="O12" s="37">
        <v>5.53</v>
      </c>
      <c r="P12" s="36">
        <v>598</v>
      </c>
      <c r="Q12" s="36">
        <v>38</v>
      </c>
      <c r="R12" s="37">
        <v>68.41</v>
      </c>
      <c r="S12" s="36">
        <v>6889</v>
      </c>
      <c r="T12" s="10"/>
      <c r="U12" s="10"/>
      <c r="V12" s="10"/>
      <c r="W12" s="36">
        <v>1</v>
      </c>
      <c r="X12" s="37">
        <v>1.9</v>
      </c>
      <c r="Y12" s="36">
        <v>229</v>
      </c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25</v>
      </c>
      <c r="B13" s="36">
        <v>39</v>
      </c>
      <c r="C13" s="37">
        <v>79.27</v>
      </c>
      <c r="D13" s="36">
        <v>7903</v>
      </c>
      <c r="E13" s="36">
        <v>23</v>
      </c>
      <c r="F13" s="37">
        <v>46.68</v>
      </c>
      <c r="G13" s="36">
        <v>4230</v>
      </c>
      <c r="H13" s="10"/>
      <c r="I13" s="10"/>
      <c r="J13" s="10"/>
      <c r="K13" s="36">
        <v>12</v>
      </c>
      <c r="L13" s="37">
        <v>24.74</v>
      </c>
      <c r="M13" s="36">
        <v>2971</v>
      </c>
      <c r="N13" s="36">
        <v>77</v>
      </c>
      <c r="O13" s="37">
        <v>155.85</v>
      </c>
      <c r="P13" s="36">
        <v>15282</v>
      </c>
      <c r="Q13" s="36">
        <v>120</v>
      </c>
      <c r="R13" s="37">
        <v>245.12</v>
      </c>
      <c r="S13" s="36">
        <v>26752</v>
      </c>
      <c r="T13" s="10"/>
      <c r="U13" s="10"/>
      <c r="V13" s="10"/>
      <c r="W13" s="36">
        <v>5</v>
      </c>
      <c r="X13" s="37">
        <v>10.2</v>
      </c>
      <c r="Y13" s="36">
        <v>1360</v>
      </c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26</v>
      </c>
      <c r="B14" s="36">
        <v>1</v>
      </c>
      <c r="C14" s="37">
        <v>2.32</v>
      </c>
      <c r="D14" s="36">
        <v>179</v>
      </c>
      <c r="E14" s="36">
        <v>1</v>
      </c>
      <c r="F14" s="37">
        <v>2.11</v>
      </c>
      <c r="G14" s="36">
        <v>211</v>
      </c>
      <c r="H14" s="10"/>
      <c r="I14" s="10"/>
      <c r="J14" s="10"/>
      <c r="K14" s="36">
        <v>14</v>
      </c>
      <c r="L14" s="37">
        <v>30.53</v>
      </c>
      <c r="M14" s="36">
        <v>3439</v>
      </c>
      <c r="N14" s="36">
        <v>1</v>
      </c>
      <c r="O14" s="37">
        <v>2.21</v>
      </c>
      <c r="P14" s="36">
        <v>280</v>
      </c>
      <c r="Q14" s="36">
        <v>25</v>
      </c>
      <c r="R14" s="37">
        <v>55.21</v>
      </c>
      <c r="S14" s="36">
        <v>5936</v>
      </c>
      <c r="T14" s="10"/>
      <c r="U14" s="10"/>
      <c r="V14" s="10"/>
      <c r="W14" s="36">
        <v>3</v>
      </c>
      <c r="X14" s="37">
        <v>6.69</v>
      </c>
      <c r="Y14" s="36">
        <v>1115</v>
      </c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27</v>
      </c>
      <c r="B15" s="36">
        <v>4</v>
      </c>
      <c r="C15" s="37">
        <v>10.06</v>
      </c>
      <c r="D15" s="36">
        <v>770</v>
      </c>
      <c r="E15" s="36">
        <v>7</v>
      </c>
      <c r="F15" s="37">
        <v>17.89</v>
      </c>
      <c r="G15" s="36">
        <v>1488</v>
      </c>
      <c r="H15" s="10"/>
      <c r="I15" s="10"/>
      <c r="J15" s="10"/>
      <c r="K15" s="36">
        <v>15</v>
      </c>
      <c r="L15" s="37">
        <v>38.32</v>
      </c>
      <c r="M15" s="36">
        <v>4337</v>
      </c>
      <c r="N15" s="36">
        <v>12</v>
      </c>
      <c r="O15" s="37">
        <v>30.17</v>
      </c>
      <c r="P15" s="36">
        <v>3108</v>
      </c>
      <c r="Q15" s="36">
        <v>10</v>
      </c>
      <c r="R15" s="37">
        <v>25.25</v>
      </c>
      <c r="S15" s="36">
        <v>2852</v>
      </c>
      <c r="T15" s="10"/>
      <c r="U15" s="10"/>
      <c r="V15" s="10"/>
      <c r="W15" s="36">
        <v>2</v>
      </c>
      <c r="X15" s="37">
        <v>5.09</v>
      </c>
      <c r="Y15" s="36">
        <v>677</v>
      </c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28</v>
      </c>
      <c r="B16" s="10"/>
      <c r="C16" s="10"/>
      <c r="D16" s="10"/>
      <c r="E16" s="36">
        <v>1</v>
      </c>
      <c r="F16" s="37">
        <v>2.61</v>
      </c>
      <c r="G16" s="36">
        <v>149</v>
      </c>
      <c r="H16" s="10"/>
      <c r="I16" s="10"/>
      <c r="J16" s="10"/>
      <c r="K16" s="36">
        <v>6</v>
      </c>
      <c r="L16" s="37">
        <v>16.22</v>
      </c>
      <c r="M16" s="36">
        <v>1922</v>
      </c>
      <c r="N16" s="36">
        <v>1</v>
      </c>
      <c r="O16" s="37">
        <v>2.92</v>
      </c>
      <c r="P16" s="36">
        <v>350</v>
      </c>
      <c r="Q16" s="36">
        <v>2</v>
      </c>
      <c r="R16" s="37">
        <v>5.89</v>
      </c>
      <c r="S16" s="36">
        <v>666</v>
      </c>
      <c r="T16" s="10"/>
      <c r="U16" s="10"/>
      <c r="V16" s="10"/>
      <c r="W16" s="36">
        <v>2</v>
      </c>
      <c r="X16" s="37">
        <v>5.81</v>
      </c>
      <c r="Y16" s="36">
        <v>1139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29</v>
      </c>
      <c r="B17" s="36">
        <v>5</v>
      </c>
      <c r="C17" s="37">
        <v>15.06</v>
      </c>
      <c r="D17" s="36">
        <v>1310</v>
      </c>
      <c r="E17" s="36">
        <v>1</v>
      </c>
      <c r="F17" s="37">
        <v>3.05</v>
      </c>
      <c r="G17" s="36">
        <v>226</v>
      </c>
      <c r="H17" s="10"/>
      <c r="I17" s="10"/>
      <c r="J17" s="10"/>
      <c r="K17" s="36">
        <v>5</v>
      </c>
      <c r="L17" s="37">
        <v>15.17</v>
      </c>
      <c r="M17" s="36">
        <v>1875</v>
      </c>
      <c r="N17" s="36">
        <v>5</v>
      </c>
      <c r="O17" s="37">
        <v>15.13</v>
      </c>
      <c r="P17" s="36">
        <v>1524</v>
      </c>
      <c r="Q17" s="36">
        <v>43</v>
      </c>
      <c r="R17" s="37">
        <v>131.21</v>
      </c>
      <c r="S17" s="36">
        <v>14775</v>
      </c>
      <c r="T17" s="10"/>
      <c r="U17" s="10"/>
      <c r="V17" s="10"/>
      <c r="W17" s="36">
        <v>3</v>
      </c>
      <c r="X17" s="37">
        <v>9.09</v>
      </c>
      <c r="Y17" s="36">
        <v>1510</v>
      </c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30</v>
      </c>
      <c r="B18" s="10"/>
      <c r="C18" s="10"/>
      <c r="D18" s="10"/>
      <c r="E18" s="10"/>
      <c r="F18" s="10"/>
      <c r="G18" s="10"/>
      <c r="H18" s="10"/>
      <c r="I18" s="10"/>
      <c r="J18" s="10"/>
      <c r="K18" s="36">
        <v>15</v>
      </c>
      <c r="L18" s="37">
        <v>48.21</v>
      </c>
      <c r="M18" s="36">
        <v>5964</v>
      </c>
      <c r="N18" s="10"/>
      <c r="O18" s="10"/>
      <c r="P18" s="10"/>
      <c r="Q18" s="36">
        <v>6</v>
      </c>
      <c r="R18" s="37">
        <v>18.82</v>
      </c>
      <c r="S18" s="36">
        <v>2299</v>
      </c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31</v>
      </c>
      <c r="B19" s="36">
        <v>2</v>
      </c>
      <c r="C19" s="37">
        <v>7.07</v>
      </c>
      <c r="D19" s="36">
        <v>566</v>
      </c>
      <c r="E19" s="36">
        <v>3</v>
      </c>
      <c r="F19" s="37">
        <v>10.66</v>
      </c>
      <c r="G19" s="36">
        <v>967</v>
      </c>
      <c r="H19" s="10"/>
      <c r="I19" s="10"/>
      <c r="J19" s="10"/>
      <c r="K19" s="36">
        <v>3</v>
      </c>
      <c r="L19" s="37">
        <v>10.61</v>
      </c>
      <c r="M19" s="36">
        <v>1368</v>
      </c>
      <c r="N19" s="10"/>
      <c r="O19" s="10"/>
      <c r="P19" s="10"/>
      <c r="Q19" s="36">
        <v>12</v>
      </c>
      <c r="R19" s="37">
        <v>42.5</v>
      </c>
      <c r="S19" s="36">
        <v>5149</v>
      </c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52</v>
      </c>
      <c r="B20" s="10"/>
      <c r="C20" s="10"/>
      <c r="D20" s="10"/>
      <c r="E20" s="10"/>
      <c r="F20" s="10"/>
      <c r="G20" s="10"/>
      <c r="H20" s="10"/>
      <c r="I20" s="10"/>
      <c r="J20" s="10"/>
      <c r="K20" s="36">
        <v>2</v>
      </c>
      <c r="L20" s="37">
        <v>7.34</v>
      </c>
      <c r="M20" s="36">
        <v>851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32</v>
      </c>
      <c r="B21" s="36">
        <v>1</v>
      </c>
      <c r="C21" s="37">
        <v>4.03</v>
      </c>
      <c r="D21" s="36">
        <v>326</v>
      </c>
      <c r="E21" s="36">
        <v>4</v>
      </c>
      <c r="F21" s="37">
        <v>16.29</v>
      </c>
      <c r="G21" s="36">
        <v>1010</v>
      </c>
      <c r="H21" s="10"/>
      <c r="I21" s="10"/>
      <c r="J21" s="10"/>
      <c r="K21" s="36">
        <v>4</v>
      </c>
      <c r="L21" s="37">
        <v>16.21</v>
      </c>
      <c r="M21" s="36">
        <v>1848</v>
      </c>
      <c r="N21" s="36">
        <v>1</v>
      </c>
      <c r="O21" s="37">
        <v>4.01</v>
      </c>
      <c r="P21" s="36">
        <v>462</v>
      </c>
      <c r="Q21" s="36">
        <v>6</v>
      </c>
      <c r="R21" s="37">
        <v>24.32</v>
      </c>
      <c r="S21" s="36">
        <v>2983</v>
      </c>
      <c r="T21" s="10"/>
      <c r="U21" s="10"/>
      <c r="V21" s="10"/>
      <c r="W21" s="10"/>
      <c r="X21" s="10"/>
      <c r="Y21" s="10"/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33</v>
      </c>
      <c r="B22" s="10"/>
      <c r="C22" s="10"/>
      <c r="D22" s="10"/>
      <c r="E22" s="10"/>
      <c r="F22" s="10"/>
      <c r="G22" s="10"/>
      <c r="H22" s="10"/>
      <c r="I22" s="10"/>
      <c r="J22" s="10"/>
      <c r="K22" s="36">
        <v>3</v>
      </c>
      <c r="L22" s="37">
        <v>12.74</v>
      </c>
      <c r="M22" s="36">
        <v>1550</v>
      </c>
      <c r="N22" s="10"/>
      <c r="O22" s="10"/>
      <c r="P22" s="10"/>
      <c r="Q22" s="36">
        <v>3</v>
      </c>
      <c r="R22" s="37">
        <v>12.41</v>
      </c>
      <c r="S22" s="36">
        <v>1416</v>
      </c>
      <c r="T22" s="10"/>
      <c r="U22" s="10"/>
      <c r="V22" s="10"/>
      <c r="W22" s="36">
        <v>1</v>
      </c>
      <c r="X22" s="37">
        <v>4.44</v>
      </c>
      <c r="Y22" s="36">
        <v>705</v>
      </c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34</v>
      </c>
      <c r="B23" s="10"/>
      <c r="C23" s="10"/>
      <c r="D23" s="10"/>
      <c r="E23" s="10"/>
      <c r="F23" s="10"/>
      <c r="G23" s="10"/>
      <c r="H23" s="10"/>
      <c r="I23" s="10"/>
      <c r="J23" s="10"/>
      <c r="K23" s="36">
        <v>4</v>
      </c>
      <c r="L23" s="37">
        <v>19.07</v>
      </c>
      <c r="M23" s="36">
        <v>2409</v>
      </c>
      <c r="N23" s="10"/>
      <c r="O23" s="10"/>
      <c r="P23" s="10"/>
      <c r="Q23" s="36">
        <v>5</v>
      </c>
      <c r="R23" s="37">
        <v>23.66</v>
      </c>
      <c r="S23" s="36">
        <v>2370</v>
      </c>
      <c r="T23" s="10"/>
      <c r="U23" s="10"/>
      <c r="V23" s="10"/>
      <c r="W23" s="36">
        <v>1</v>
      </c>
      <c r="X23" s="37">
        <v>4.66</v>
      </c>
      <c r="Y23" s="36">
        <v>1145</v>
      </c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" t="s">
        <v>35</v>
      </c>
      <c r="B24" s="36">
        <v>1</v>
      </c>
      <c r="C24" s="37">
        <v>5.01</v>
      </c>
      <c r="D24" s="36">
        <v>446</v>
      </c>
      <c r="E24" s="36">
        <v>2</v>
      </c>
      <c r="F24" s="37">
        <v>10.12</v>
      </c>
      <c r="G24" s="36">
        <v>804</v>
      </c>
      <c r="H24" s="10"/>
      <c r="I24" s="10"/>
      <c r="J24" s="10"/>
      <c r="K24" s="36">
        <v>6</v>
      </c>
      <c r="L24" s="37">
        <v>30.31</v>
      </c>
      <c r="M24" s="36">
        <v>3431</v>
      </c>
      <c r="N24" s="36">
        <v>1</v>
      </c>
      <c r="O24" s="37">
        <v>5.03</v>
      </c>
      <c r="P24" s="36">
        <v>599</v>
      </c>
      <c r="Q24" s="36">
        <v>41</v>
      </c>
      <c r="R24" s="37">
        <v>207.16</v>
      </c>
      <c r="S24" s="36">
        <v>22256</v>
      </c>
      <c r="T24" s="10"/>
      <c r="U24" s="10"/>
      <c r="V24" s="10"/>
      <c r="W24" s="36">
        <v>5</v>
      </c>
      <c r="X24" s="37">
        <v>25.15</v>
      </c>
      <c r="Y24" s="36">
        <v>4482</v>
      </c>
      <c r="Z24" s="36">
        <f>SUM(B24,E24,H24,K24,N24,Q24,T24,W24)</f>
      </c>
      <c r="AA24" s="37">
        <f>SUM(C24,F24,I24,L24,O24,R24,U24,X24)</f>
      </c>
      <c r="AB24" s="36">
        <f>SUM(D24,G24,J24,M24,P24,S24,V24,Y24)</f>
      </c>
      <c r="AC24" s="37">
        <f>IF(AA24&gt;0,AB24/AA24,0)</f>
      </c>
    </row>
    <row r="25">
      <c r="A25" s="3" t="s">
        <v>36</v>
      </c>
      <c r="B25" s="10"/>
      <c r="C25" s="10"/>
      <c r="D25" s="10"/>
      <c r="E25" s="10"/>
      <c r="F25" s="10"/>
      <c r="G25" s="10"/>
      <c r="H25" s="10"/>
      <c r="I25" s="10"/>
      <c r="J25" s="10"/>
      <c r="K25" s="36">
        <v>9</v>
      </c>
      <c r="L25" s="37">
        <v>48.31</v>
      </c>
      <c r="M25" s="36">
        <v>6192</v>
      </c>
      <c r="N25" s="10"/>
      <c r="O25" s="10"/>
      <c r="P25" s="10"/>
      <c r="Q25" s="36">
        <v>5</v>
      </c>
      <c r="R25" s="37">
        <v>26.39</v>
      </c>
      <c r="S25" s="36">
        <v>2950</v>
      </c>
      <c r="T25" s="10"/>
      <c r="U25" s="10"/>
      <c r="V25" s="10"/>
      <c r="W25" s="36">
        <v>1</v>
      </c>
      <c r="X25" s="37">
        <v>5.11</v>
      </c>
      <c r="Y25" s="36">
        <v>1719</v>
      </c>
      <c r="Z25" s="36">
        <f>SUM(B25,E25,H25,K25,N25,Q25,T25,W25)</f>
      </c>
      <c r="AA25" s="37">
        <f>SUM(C25,F25,I25,L25,O25,R25,U25,X25)</f>
      </c>
      <c r="AB25" s="36">
        <f>SUM(D25,G25,J25,M25,P25,S25,V25,Y25)</f>
      </c>
      <c r="AC25" s="37">
        <f>IF(AA25&gt;0,AB25/AA25,0)</f>
      </c>
    </row>
    <row r="26">
      <c r="A26" s="3" t="s">
        <v>37</v>
      </c>
      <c r="B26" s="10"/>
      <c r="C26" s="10"/>
      <c r="D26" s="10"/>
      <c r="E26" s="36">
        <v>1</v>
      </c>
      <c r="F26" s="37">
        <v>6.86</v>
      </c>
      <c r="G26" s="36">
        <v>425</v>
      </c>
      <c r="H26" s="10"/>
      <c r="I26" s="10"/>
      <c r="J26" s="10"/>
      <c r="K26" s="36">
        <v>6</v>
      </c>
      <c r="L26" s="37">
        <v>36.69</v>
      </c>
      <c r="M26" s="36">
        <v>4767</v>
      </c>
      <c r="N26" s="36">
        <v>1</v>
      </c>
      <c r="O26" s="37">
        <v>6.22</v>
      </c>
      <c r="P26" s="36">
        <v>781</v>
      </c>
      <c r="Q26" s="36">
        <v>2</v>
      </c>
      <c r="R26" s="37">
        <v>12.08</v>
      </c>
      <c r="S26" s="36">
        <v>1111</v>
      </c>
      <c r="T26" s="10"/>
      <c r="U26" s="10"/>
      <c r="V26" s="10"/>
      <c r="W26" s="36">
        <v>1</v>
      </c>
      <c r="X26" s="37">
        <v>6.06</v>
      </c>
      <c r="Y26" s="36">
        <v>2062</v>
      </c>
      <c r="Z26" s="36">
        <f>SUM(B26,E26,H26,K26,N26,Q26,T26,W26)</f>
      </c>
      <c r="AA26" s="37">
        <f>SUM(C26,F26,I26,L26,O26,R26,U26,X26)</f>
      </c>
      <c r="AB26" s="36">
        <f>SUM(D26,G26,J26,M26,P26,S26,V26,Y26)</f>
      </c>
      <c r="AC26" s="37">
        <f>IF(AA26&gt;0,AB26/AA26,0)</f>
      </c>
    </row>
    <row r="27">
      <c r="A27" s="3" t="s">
        <v>38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36">
        <v>1</v>
      </c>
      <c r="R27" s="37">
        <v>7.55</v>
      </c>
      <c r="S27" s="36">
        <v>995</v>
      </c>
      <c r="T27" s="10"/>
      <c r="U27" s="10"/>
      <c r="V27" s="10"/>
      <c r="W27" s="10"/>
      <c r="X27" s="10"/>
      <c r="Y27" s="10"/>
      <c r="Z27" s="36">
        <f>SUM(B27,E27,H27,K27,N27,Q27,T27,W27)</f>
      </c>
      <c r="AA27" s="37">
        <f>SUM(C27,F27,I27,L27,O27,R27,U27,X27)</f>
      </c>
      <c r="AB27" s="36">
        <f>SUM(D27,G27,J27,M27,P27,S27,V27,Y27)</f>
      </c>
      <c r="AC27" s="37">
        <f>IF(AA27&gt;0,AB27/AA27,0)</f>
      </c>
    </row>
    <row r="28">
      <c r="A28" s="3" t="s">
        <v>53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36">
        <v>2</v>
      </c>
      <c r="X28" s="37">
        <v>18.73</v>
      </c>
      <c r="Y28" s="36">
        <v>6357</v>
      </c>
      <c r="Z28" s="36">
        <f>SUM(B28,E28,H28,K28,N28,Q28,T28,W28)</f>
      </c>
      <c r="AA28" s="37">
        <f>SUM(C28,F28,I28,L28,O28,R28,U28,X28)</f>
      </c>
      <c r="AB28" s="36">
        <f>SUM(D28,G28,J28,M28,P28,S28,V28,Y28)</f>
      </c>
      <c r="AC28" s="37">
        <f>IF(AA28&gt;0,AB28/AA28,0)</f>
      </c>
    </row>
    <row r="29">
      <c r="A29" s="38" t="s">
        <v>63</v>
      </c>
      <c r="B29" s="39">
        <f>SUM(B6:B28)</f>
      </c>
      <c r="C29" s="39">
        <f>SUM(C6:C28)</f>
      </c>
      <c r="D29" s="40">
        <f>SUM(D6:D28)</f>
      </c>
      <c r="E29" s="39">
        <f>SUM(E6:E28)</f>
      </c>
      <c r="F29" s="39">
        <f>SUM(F6:F28)</f>
      </c>
      <c r="G29" s="40">
        <f>SUM(G6:G28)</f>
      </c>
      <c r="H29" s="39">
        <f>SUM(H6:H28)</f>
      </c>
      <c r="I29" s="39">
        <f>SUM(I6:I28)</f>
      </c>
      <c r="J29" s="40">
        <f>SUM(J6:J28)</f>
      </c>
      <c r="K29" s="39">
        <f>SUM(K6:K28)</f>
      </c>
      <c r="L29" s="39">
        <f>SUM(L6:L28)</f>
      </c>
      <c r="M29" s="40">
        <f>SUM(M6:M28)</f>
      </c>
      <c r="N29" s="39">
        <f>SUM(N6:N28)</f>
      </c>
      <c r="O29" s="39">
        <f>SUM(O6:O28)</f>
      </c>
      <c r="P29" s="40">
        <f>SUM(P6:P28)</f>
      </c>
      <c r="Q29" s="39">
        <f>SUM(Q6:Q28)</f>
      </c>
      <c r="R29" s="39">
        <f>SUM(R6:R28)</f>
      </c>
      <c r="S29" s="40">
        <f>SUM(S6:S28)</f>
      </c>
      <c r="T29" s="39">
        <f>SUM(T6:T28)</f>
      </c>
      <c r="U29" s="39">
        <f>SUM(U6:U28)</f>
      </c>
      <c r="V29" s="40">
        <f>SUM(V6:V28)</f>
      </c>
      <c r="W29" s="39">
        <f>SUM(W6:W28)</f>
      </c>
      <c r="X29" s="39">
        <f>SUM(X6:X28)</f>
      </c>
      <c r="Y29" s="40">
        <f>SUM(Y6:Y28)</f>
      </c>
      <c r="Z29" s="41">
        <f>SUM(Z6:Z28)</f>
      </c>
      <c r="AA29" s="42">
        <f>SUM(AA6:AA28)</f>
      </c>
      <c r="AB29" s="41">
        <f>SUM(AB6:AB28)</f>
      </c>
      <c r="AC29" s="43">
        <f>IF(AA29&gt;0,AB29/AA29,0)</f>
      </c>
    </row>
    <row r="30">
      <c r="A30" s="38" t="s">
        <v>3</v>
      </c>
      <c r="B30" s="44">
        <f>IF(Z29&gt;0,B29/Z29*100,0)</f>
      </c>
      <c r="C30" s="44">
        <f>IF(AA29&gt;0,C29/AA29*100,0)</f>
      </c>
      <c r="D30" s="44">
        <f>IF(AB29&gt;0,D29/AB29*100,0)</f>
      </c>
      <c r="E30" s="44">
        <f>IF(Z29&gt;0,E29/Z29*100,0)</f>
      </c>
      <c r="F30" s="44">
        <f>IF(AA29&gt;0,F29/AA29*100,0)</f>
      </c>
      <c r="G30" s="44">
        <f>IF(AB29&gt;0,G29/AB29*100,0)</f>
      </c>
      <c r="H30" s="44">
        <f>IF(Z29&gt;0,H29/Z29*100,0)</f>
      </c>
      <c r="I30" s="44">
        <f>IF(AA29&gt;0,I29/AA29*100,0)</f>
      </c>
      <c r="J30" s="44">
        <f>IF(AB29&gt;0,J29/AB29*100,0)</f>
      </c>
      <c r="K30" s="44">
        <f>IF(Z29&gt;0,K29/Z29*100,0)</f>
      </c>
      <c r="L30" s="44">
        <f>IF(AA29&gt;0,L29/AA29*100,0)</f>
      </c>
      <c r="M30" s="44">
        <f>IF(AB29&gt;0,M29/AB29*100,0)</f>
      </c>
      <c r="N30" s="44">
        <f>IF(Z29&gt;0,N29/Z29*100,0)</f>
      </c>
      <c r="O30" s="44">
        <f>IF(AA29&gt;0,O29/AA29*100,0)</f>
      </c>
      <c r="P30" s="44">
        <f>IF(AB29&gt;0,P29/AB29*100,0)</f>
      </c>
      <c r="Q30" s="44">
        <f>IF(Z29&gt;0,Q29/Z29*100,0)</f>
      </c>
      <c r="R30" s="44">
        <f>IF(AA29&gt;0,R29/AA29*100,0)</f>
      </c>
      <c r="S30" s="44">
        <f>IF(AB29&gt;0,S29/AB29*100,0)</f>
      </c>
      <c r="T30" s="44">
        <f>IF(Z29&gt;0,T29/Z29*100,0)</f>
      </c>
      <c r="U30" s="44">
        <f>IF(AA29&gt;0,U29/AA29*100,0)</f>
      </c>
      <c r="V30" s="44">
        <f>IF(AB29&gt;0,V29/AB29*100,0)</f>
      </c>
      <c r="W30" s="44">
        <f>IF(Z29&gt;0,W29/Z29*100,0)</f>
      </c>
      <c r="X30" s="44">
        <f>IF(AA29&gt;0,X29/AA29*100,0)</f>
      </c>
      <c r="Y30" s="44">
        <f>IF(AB29&gt;0,Y29/AB29*100,0)</f>
      </c>
      <c r="Z30" s="44">
        <f>100.00</f>
      </c>
      <c r="AA30" s="44">
        <f>100.00</f>
      </c>
      <c r="AB30" s="44">
        <f>100.00</f>
      </c>
      <c r="AC30" s="45" t="s">
        <v>51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6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46" t="s">
        <v>64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9" t="s">
        <v>4</v>
      </c>
      <c r="B2" s="15" t="s">
        <v>2</v>
      </c>
      <c r="C2" s="15" t="s">
        <v>3</v>
      </c>
      <c r="D2" s="47" t="s">
        <v>65</v>
      </c>
      <c r="E2" s="47" t="s">
        <v>3</v>
      </c>
      <c r="F2" s="48" t="s">
        <v>66</v>
      </c>
      <c r="G2" s="48" t="s">
        <v>3</v>
      </c>
      <c r="H2" s="3" t="s">
        <v>67</v>
      </c>
      <c r="J2" s="9" t="s">
        <v>68</v>
      </c>
      <c r="K2" s="49" t="s">
        <v>2</v>
      </c>
      <c r="L2" s="49" t="s">
        <v>3</v>
      </c>
      <c r="M2" s="49" t="s">
        <v>45</v>
      </c>
      <c r="N2" s="9" t="s">
        <v>3</v>
      </c>
      <c r="P2" s="9" t="s">
        <v>69</v>
      </c>
      <c r="Q2" s="49" t="s">
        <v>2</v>
      </c>
      <c r="R2" s="49" t="s">
        <v>3</v>
      </c>
      <c r="S2" s="49" t="s">
        <v>45</v>
      </c>
      <c r="T2" s="9" t="s">
        <v>3</v>
      </c>
    </row>
    <row r="3">
      <c r="A3" s="10" t="s">
        <v>12</v>
      </c>
      <c r="B3" s="10">
        <v>2961</v>
      </c>
      <c r="C3" s="10">
        <v>47.05</v>
      </c>
      <c r="D3" s="10">
        <v>3100.145</v>
      </c>
      <c r="E3" s="10">
        <v>35.33</v>
      </c>
      <c r="F3" s="10">
        <v>288090</v>
      </c>
      <c r="G3" s="10">
        <v>33.74</v>
      </c>
      <c r="H3" s="10">
        <v>93</v>
      </c>
      <c r="J3" s="10" t="s">
        <v>13</v>
      </c>
      <c r="K3" s="10">
        <v>1813</v>
      </c>
      <c r="L3" s="10">
        <v>28.81</v>
      </c>
      <c r="M3" s="10">
        <v>216092</v>
      </c>
      <c r="N3" s="10">
        <v>25.31</v>
      </c>
      <c r="P3" s="10" t="s">
        <v>5</v>
      </c>
      <c r="Q3" s="10">
        <v>69</v>
      </c>
      <c r="R3" s="10">
        <v>1.1</v>
      </c>
      <c r="S3" s="10">
        <v>12686</v>
      </c>
      <c r="T3" s="10">
        <v>1.49</v>
      </c>
    </row>
    <row r="4">
      <c r="A4" s="10" t="s">
        <v>19</v>
      </c>
      <c r="B4" s="10">
        <v>141</v>
      </c>
      <c r="C4" s="10">
        <v>2.24</v>
      </c>
      <c r="D4" s="10">
        <v>160.31</v>
      </c>
      <c r="E4" s="10">
        <v>1.83</v>
      </c>
      <c r="F4" s="10">
        <v>15340</v>
      </c>
      <c r="G4" s="10">
        <v>1.8</v>
      </c>
      <c r="H4" s="10">
        <v>96</v>
      </c>
      <c r="J4" s="10" t="s">
        <v>14</v>
      </c>
      <c r="K4" s="10">
        <v>2133</v>
      </c>
      <c r="L4" s="10">
        <v>33.89</v>
      </c>
      <c r="M4" s="10">
        <v>282661</v>
      </c>
      <c r="N4" s="10">
        <v>33.1</v>
      </c>
      <c r="P4" s="10" t="s">
        <v>10</v>
      </c>
      <c r="Q4" s="10">
        <v>41</v>
      </c>
      <c r="R4" s="10">
        <v>0.65</v>
      </c>
      <c r="S4" s="10">
        <v>5820</v>
      </c>
      <c r="T4" s="10">
        <v>0.68</v>
      </c>
    </row>
    <row r="5">
      <c r="A5" s="10" t="s">
        <v>20</v>
      </c>
      <c r="B5" s="10">
        <v>704</v>
      </c>
      <c r="C5" s="10">
        <v>11.19</v>
      </c>
      <c r="D5" s="10">
        <v>871.48</v>
      </c>
      <c r="E5" s="10">
        <v>9.93</v>
      </c>
      <c r="F5" s="10">
        <v>71976</v>
      </c>
      <c r="G5" s="10">
        <v>8.43</v>
      </c>
      <c r="H5" s="10">
        <v>83</v>
      </c>
      <c r="J5" s="10" t="s">
        <v>15</v>
      </c>
      <c r="K5" s="10">
        <v>1700</v>
      </c>
      <c r="L5" s="10">
        <v>27.01</v>
      </c>
      <c r="M5" s="10">
        <v>221697</v>
      </c>
      <c r="N5" s="10">
        <v>25.96</v>
      </c>
      <c r="P5" s="10" t="s">
        <v>8</v>
      </c>
      <c r="Q5" s="10">
        <v>1185</v>
      </c>
      <c r="R5" s="10">
        <v>18.83</v>
      </c>
      <c r="S5" s="10">
        <v>206292</v>
      </c>
      <c r="T5" s="10">
        <v>24.16</v>
      </c>
    </row>
    <row r="6">
      <c r="A6" s="10" t="s">
        <v>21</v>
      </c>
      <c r="B6" s="10">
        <v>51</v>
      </c>
      <c r="C6" s="10">
        <v>0.81</v>
      </c>
      <c r="D6" s="10">
        <v>70.66</v>
      </c>
      <c r="E6" s="10">
        <v>0.81</v>
      </c>
      <c r="F6" s="10">
        <v>6691</v>
      </c>
      <c r="G6" s="10">
        <v>0.78</v>
      </c>
      <c r="H6" s="10">
        <v>95</v>
      </c>
      <c r="J6" s="10" t="s">
        <v>16</v>
      </c>
      <c r="K6" s="10">
        <v>339</v>
      </c>
      <c r="L6" s="10">
        <v>5.39</v>
      </c>
      <c r="M6" s="10">
        <v>45557</v>
      </c>
      <c r="N6" s="10">
        <v>5.33</v>
      </c>
      <c r="P6" s="10" t="s">
        <v>9</v>
      </c>
      <c r="Q6" s="10">
        <v>461</v>
      </c>
      <c r="R6" s="10">
        <v>7.33</v>
      </c>
      <c r="S6" s="10">
        <v>75753</v>
      </c>
      <c r="T6" s="10">
        <v>8.87</v>
      </c>
    </row>
    <row r="7">
      <c r="A7" s="10" t="s">
        <v>22</v>
      </c>
      <c r="B7" s="10">
        <v>1720</v>
      </c>
      <c r="C7" s="10">
        <v>27.33</v>
      </c>
      <c r="D7" s="10">
        <v>2627.13</v>
      </c>
      <c r="E7" s="10">
        <v>29.94</v>
      </c>
      <c r="F7" s="10">
        <v>252038</v>
      </c>
      <c r="G7" s="10">
        <v>29.51</v>
      </c>
      <c r="H7" s="10">
        <v>96</v>
      </c>
      <c r="J7" s="10" t="s">
        <v>17</v>
      </c>
      <c r="K7" s="10">
        <v>45</v>
      </c>
      <c r="L7" s="10">
        <v>0.72</v>
      </c>
      <c r="M7" s="10">
        <v>5227</v>
      </c>
      <c r="N7" s="10">
        <v>0.61</v>
      </c>
      <c r="P7" s="10" t="s">
        <v>6</v>
      </c>
      <c r="Q7" s="10">
        <v>1657</v>
      </c>
      <c r="R7" s="10">
        <v>26.33</v>
      </c>
      <c r="S7" s="10">
        <v>192696</v>
      </c>
      <c r="T7" s="10">
        <v>22.57</v>
      </c>
    </row>
    <row r="8">
      <c r="A8" s="10" t="s">
        <v>23</v>
      </c>
      <c r="B8" s="10">
        <v>43</v>
      </c>
      <c r="C8" s="10">
        <v>0.68</v>
      </c>
      <c r="D8" s="10">
        <v>69.59</v>
      </c>
      <c r="E8" s="10">
        <v>0.79</v>
      </c>
      <c r="F8" s="10">
        <v>6578</v>
      </c>
      <c r="G8" s="10">
        <v>0.77</v>
      </c>
      <c r="H8" s="10">
        <v>95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2880</v>
      </c>
      <c r="R8" s="10">
        <v>45.77</v>
      </c>
      <c r="S8" s="10">
        <v>360701</v>
      </c>
      <c r="T8" s="10">
        <v>42.24</v>
      </c>
    </row>
    <row r="9">
      <c r="A9" s="10" t="s">
        <v>24</v>
      </c>
      <c r="B9" s="10">
        <v>64</v>
      </c>
      <c r="C9" s="10">
        <v>1.02</v>
      </c>
      <c r="D9" s="10">
        <v>115.35</v>
      </c>
      <c r="E9" s="10">
        <v>1.31</v>
      </c>
      <c r="F9" s="10">
        <v>11495</v>
      </c>
      <c r="G9" s="10">
        <v>1.35</v>
      </c>
      <c r="H9" s="10">
        <v>100</v>
      </c>
      <c r="J9" s="47" t="s">
        <v>63</v>
      </c>
      <c r="K9" s="47">
        <v>6034</v>
      </c>
      <c r="L9" s="47">
        <v>100</v>
      </c>
      <c r="M9" s="47">
        <v>771597</v>
      </c>
      <c r="N9" s="47">
        <v>100</v>
      </c>
      <c r="P9" s="47" t="s">
        <v>63</v>
      </c>
      <c r="Q9" s="47">
        <v>6293</v>
      </c>
      <c r="R9" s="47">
        <v>100</v>
      </c>
      <c r="S9" s="47">
        <v>853947</v>
      </c>
      <c r="T9" s="47">
        <v>100</v>
      </c>
    </row>
    <row r="10">
      <c r="A10" s="10" t="s">
        <v>25</v>
      </c>
      <c r="B10" s="10">
        <v>279</v>
      </c>
      <c r="C10" s="10">
        <v>4.43</v>
      </c>
      <c r="D10" s="10">
        <v>567.92</v>
      </c>
      <c r="E10" s="10">
        <v>6.47</v>
      </c>
      <c r="F10" s="10">
        <v>59135</v>
      </c>
      <c r="G10" s="10">
        <v>6.92</v>
      </c>
      <c r="H10" s="10">
        <v>104</v>
      </c>
    </row>
    <row r="11">
      <c r="A11" s="10" t="s">
        <v>26</v>
      </c>
      <c r="B11" s="10">
        <v>45</v>
      </c>
      <c r="C11" s="10">
        <v>0.72</v>
      </c>
      <c r="D11" s="10">
        <v>99.07</v>
      </c>
      <c r="E11" s="10">
        <v>1.13</v>
      </c>
      <c r="F11" s="10">
        <v>11159</v>
      </c>
      <c r="G11" s="10">
        <v>1.31</v>
      </c>
      <c r="H11" s="10">
        <v>113</v>
      </c>
    </row>
    <row r="12">
      <c r="A12" s="10" t="s">
        <v>27</v>
      </c>
      <c r="B12" s="10">
        <v>50</v>
      </c>
      <c r="C12" s="10">
        <v>0.79</v>
      </c>
      <c r="D12" s="10">
        <v>126.78</v>
      </c>
      <c r="E12" s="10">
        <v>1.44</v>
      </c>
      <c r="F12" s="10">
        <v>13231</v>
      </c>
      <c r="G12" s="10">
        <v>1.55</v>
      </c>
      <c r="H12" s="10">
        <v>104</v>
      </c>
    </row>
    <row r="13">
      <c r="A13" s="10" t="s">
        <v>28</v>
      </c>
      <c r="B13" s="10">
        <v>12</v>
      </c>
      <c r="C13" s="10">
        <v>0.19</v>
      </c>
      <c r="D13" s="10">
        <v>33.45</v>
      </c>
      <c r="E13" s="10">
        <v>0.38</v>
      </c>
      <c r="F13" s="10">
        <v>4227</v>
      </c>
      <c r="G13" s="10">
        <v>0.5</v>
      </c>
      <c r="H13" s="10">
        <v>126</v>
      </c>
    </row>
    <row r="14">
      <c r="A14" s="10" t="s">
        <v>29</v>
      </c>
      <c r="B14" s="10">
        <v>62</v>
      </c>
      <c r="C14" s="10">
        <v>0.99</v>
      </c>
      <c r="D14" s="10">
        <v>188.71</v>
      </c>
      <c r="E14" s="10">
        <v>2.15</v>
      </c>
      <c r="F14" s="10">
        <v>21220</v>
      </c>
      <c r="G14" s="10">
        <v>2.48</v>
      </c>
      <c r="H14" s="10">
        <v>112</v>
      </c>
    </row>
    <row r="15">
      <c r="A15" s="10" t="s">
        <v>30</v>
      </c>
      <c r="B15" s="10">
        <v>21</v>
      </c>
      <c r="C15" s="10">
        <v>0.33</v>
      </c>
      <c r="D15" s="10">
        <v>67.03</v>
      </c>
      <c r="E15" s="10">
        <v>0.76</v>
      </c>
      <c r="F15" s="10">
        <v>8263</v>
      </c>
      <c r="G15" s="10">
        <v>0.97</v>
      </c>
      <c r="H15" s="10">
        <v>123</v>
      </c>
    </row>
    <row r="16">
      <c r="A16" s="10" t="s">
        <v>31</v>
      </c>
      <c r="B16" s="10">
        <v>20</v>
      </c>
      <c r="C16" s="10">
        <v>0.32</v>
      </c>
      <c r="D16" s="10">
        <v>70.84</v>
      </c>
      <c r="E16" s="10">
        <v>0.81</v>
      </c>
      <c r="F16" s="10">
        <v>8050</v>
      </c>
      <c r="G16" s="10">
        <v>0.94</v>
      </c>
      <c r="H16" s="10">
        <v>114</v>
      </c>
    </row>
    <row r="17">
      <c r="A17" s="10" t="s">
        <v>52</v>
      </c>
      <c r="B17" s="10">
        <v>2</v>
      </c>
      <c r="C17" s="10">
        <v>0.03</v>
      </c>
      <c r="D17" s="10">
        <v>7.34</v>
      </c>
      <c r="E17" s="10">
        <v>0.08</v>
      </c>
      <c r="F17" s="10">
        <v>851</v>
      </c>
      <c r="G17" s="10">
        <v>0.1</v>
      </c>
      <c r="H17" s="10">
        <v>116</v>
      </c>
    </row>
    <row r="18">
      <c r="A18" s="10" t="s">
        <v>32</v>
      </c>
      <c r="B18" s="10">
        <v>16</v>
      </c>
      <c r="C18" s="10">
        <v>0.25</v>
      </c>
      <c r="D18" s="10">
        <v>64.86</v>
      </c>
      <c r="E18" s="10">
        <v>0.74</v>
      </c>
      <c r="F18" s="10">
        <v>6630</v>
      </c>
      <c r="G18" s="10">
        <v>0.78</v>
      </c>
      <c r="H18" s="10">
        <v>102</v>
      </c>
    </row>
    <row r="19">
      <c r="A19" s="10" t="s">
        <v>33</v>
      </c>
      <c r="B19" s="10">
        <v>7</v>
      </c>
      <c r="C19" s="10">
        <v>0.11</v>
      </c>
      <c r="D19" s="10">
        <v>29.59</v>
      </c>
      <c r="E19" s="10">
        <v>0.34</v>
      </c>
      <c r="F19" s="10">
        <v>3671</v>
      </c>
      <c r="G19" s="10">
        <v>0.43</v>
      </c>
      <c r="H19" s="10">
        <v>124</v>
      </c>
    </row>
    <row r="20">
      <c r="A20" s="10" t="s">
        <v>34</v>
      </c>
      <c r="B20" s="10">
        <v>10</v>
      </c>
      <c r="C20" s="10">
        <v>0.16</v>
      </c>
      <c r="D20" s="10">
        <v>47.39</v>
      </c>
      <c r="E20" s="10">
        <v>0.54</v>
      </c>
      <c r="F20" s="10">
        <v>5924</v>
      </c>
      <c r="G20" s="10">
        <v>0.69</v>
      </c>
      <c r="H20" s="10">
        <v>125</v>
      </c>
    </row>
    <row r="21">
      <c r="A21" s="10" t="s">
        <v>35</v>
      </c>
      <c r="B21" s="10">
        <v>56</v>
      </c>
      <c r="C21" s="10">
        <v>0.89</v>
      </c>
      <c r="D21" s="10">
        <v>282.78</v>
      </c>
      <c r="E21" s="10">
        <v>3.22</v>
      </c>
      <c r="F21" s="10">
        <v>32017</v>
      </c>
      <c r="G21" s="10">
        <v>3.75</v>
      </c>
      <c r="H21" s="10">
        <v>113</v>
      </c>
    </row>
    <row r="22">
      <c r="A22" s="10" t="s">
        <v>36</v>
      </c>
      <c r="B22" s="10">
        <v>15</v>
      </c>
      <c r="C22" s="10">
        <v>0.24</v>
      </c>
      <c r="D22" s="10">
        <v>79.81</v>
      </c>
      <c r="E22" s="10">
        <v>0.91</v>
      </c>
      <c r="F22" s="10">
        <v>10861</v>
      </c>
      <c r="G22" s="10">
        <v>1.27</v>
      </c>
      <c r="H22" s="10">
        <v>136</v>
      </c>
    </row>
    <row r="23">
      <c r="A23" s="10" t="s">
        <v>37</v>
      </c>
      <c r="B23" s="10">
        <v>11</v>
      </c>
      <c r="C23" s="10">
        <v>0.17</v>
      </c>
      <c r="D23" s="10">
        <v>67.91</v>
      </c>
      <c r="E23" s="10">
        <v>0.77</v>
      </c>
      <c r="F23" s="10">
        <v>9146</v>
      </c>
      <c r="G23" s="10">
        <v>1.07</v>
      </c>
      <c r="H23" s="10">
        <v>135</v>
      </c>
    </row>
    <row r="24">
      <c r="A24" s="10" t="s">
        <v>38</v>
      </c>
      <c r="B24" s="10">
        <v>1</v>
      </c>
      <c r="C24" s="10">
        <v>0.02</v>
      </c>
      <c r="D24" s="10">
        <v>7.55</v>
      </c>
      <c r="E24" s="10">
        <v>0.09</v>
      </c>
      <c r="F24" s="10">
        <v>995</v>
      </c>
      <c r="G24" s="10">
        <v>0.12</v>
      </c>
      <c r="H24" s="10">
        <v>132</v>
      </c>
    </row>
    <row r="25">
      <c r="A25" s="10" t="s">
        <v>53</v>
      </c>
      <c r="B25" s="10">
        <v>2</v>
      </c>
      <c r="C25" s="10">
        <v>0.03</v>
      </c>
      <c r="D25" s="10">
        <v>18.73</v>
      </c>
      <c r="E25" s="10">
        <v>0.21</v>
      </c>
      <c r="F25" s="10">
        <v>6357</v>
      </c>
      <c r="G25" s="10">
        <v>0.74</v>
      </c>
      <c r="H25" s="10">
        <v>339</v>
      </c>
    </row>
    <row r="26">
      <c r="A26" s="47" t="s">
        <v>63</v>
      </c>
      <c r="B26" s="47">
        <v>6293</v>
      </c>
      <c r="C26" s="47">
        <v>100</v>
      </c>
      <c r="D26" s="47">
        <v>8774.425</v>
      </c>
      <c r="E26" s="47">
        <v>100</v>
      </c>
      <c r="F26" s="47">
        <v>853947</v>
      </c>
      <c r="G26" s="47">
        <v>100</v>
      </c>
      <c r="H26" s="47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