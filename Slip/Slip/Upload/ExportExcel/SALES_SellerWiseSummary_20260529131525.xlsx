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<sst xmlns="http://schemas.openxmlformats.org/spreadsheetml/2006/main" count="30" uniqueCount="30">
  <si>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29-05-2026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</si>
  <si>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</si>
  <si>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</si>
  <si>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</si>
  <si>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</si>
  <si>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</si>
  <si>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</si>
  <si>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</si>
  <si>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</si>
  <si>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</si>
  <si>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</si>
  <si>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Hiten</t>
  </si>
  <si>
    <t>NEWYORK</t>
  </si>
  <si>
    <t>Portal</t>
  </si>
  <si>
    <t>Anand Naliyadhara</t>
  </si>
  <si>
    <t>Hitesh Satani</t>
  </si>
  <si>
    <t>Pankti</t>
  </si>
  <si>
    <t>Jemish</t>
  </si>
  <si>
    <t>Asha Prajapati</t>
  </si>
  <si>
    <t>Sahil</t>
  </si>
  <si>
    <t>Arpit Radadiya</t>
  </si>
  <si>
    <t>Nirali kalsara</t>
  </si>
  <si>
    <t>Ketan Kathiriya</t>
  </si>
  <si>
    <t>Shraddha Patel</t>
  </si>
  <si>
    <t>Bhawna Jagetiya</t>
  </si>
  <si>
    <t>ADMIN</t>
  </si>
  <si>
    <t>Bhavy</t>
  </si>
  <si>
    <t>Heather</t>
  </si>
  <si>
    <t>Vijay Chhodvadiya</t>
  </si>
  <si>
    <t>TOTAL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</si>
</sst>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164" applyNumberFormat="1" fontId="2" applyFont="1" fillId="5" applyFill="1" borderId="1" applyBorder="1" xfId="0" applyAlignment="1">
      <alignment horizontal="center" vertical="center"/>
    </xf>
    <xf numFmtId="165" applyNumberFormat="1" fontId="2" applyFont="1" fillId="5" applyFill="1" borderId="1" applyBorder="1" xfId="0" applyAlignment="1">
      <alignment horizontal="center" vertical="center"/>
    </xf>
    <xf numFmtId="166" applyNumberFormat="1" fontId="2" applyFont="1" fillId="5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24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IF(E24&gt;0,E3/E24,"")</f>
      </c>
    </row>
    <row r="4">
      <c r="A4" s="3" t="s">
        <v>8</v>
      </c>
      <c r="B4" s="3" t="s">
        <v>10</v>
      </c>
      <c r="C4" s="5">
        <v>412</v>
      </c>
      <c r="D4" s="6">
        <v>965.46</v>
      </c>
      <c r="E4" s="5">
        <v>93678.03</v>
      </c>
      <c r="F4" s="7">
        <f>IF(D4&gt;0,E4/D4,"")</f>
      </c>
      <c r="G4" s="8">
        <f>IF(E24&gt;0,E4/E24,"")</f>
      </c>
    </row>
    <row r="5">
      <c r="A5" s="3" t="s">
        <v>11</v>
      </c>
      <c r="B5" s="9" t="s">
        <v>12</v>
      </c>
      <c r="C5" s="5">
        <v>217</v>
      </c>
      <c r="D5" s="6">
        <v>867.7</v>
      </c>
      <c r="E5" s="5">
        <v>68690.6</v>
      </c>
      <c r="F5" s="7">
        <f>IF(D5&gt;0,E5/D5,"")</f>
      </c>
      <c r="G5" s="8">
        <f>IF(E24&gt;0,E5/E24,"")</f>
      </c>
    </row>
    <row r="6">
      <c r="A6" s="3" t="s">
        <v>13</v>
      </c>
      <c r="B6" s="3" t="s">
        <v>10</v>
      </c>
      <c r="C6" s="5">
        <v>461</v>
      </c>
      <c r="D6" s="6">
        <v>610.47</v>
      </c>
      <c r="E6" s="5">
        <v>50651.44</v>
      </c>
      <c r="F6" s="7">
        <f>IF(D6&gt;0,E6/D6,"")</f>
      </c>
      <c r="G6" s="8">
        <f>IF(E24&gt;0,E6/E24,"")</f>
      </c>
    </row>
    <row r="7">
      <c r="A7" s="3" t="s">
        <v>14</v>
      </c>
      <c r="B7" s="3" t="s">
        <v>10</v>
      </c>
      <c r="C7" s="5">
        <v>260</v>
      </c>
      <c r="D7" s="6">
        <v>331.48</v>
      </c>
      <c r="E7" s="5">
        <v>28367.81</v>
      </c>
      <c r="F7" s="7">
        <f>IF(D7&gt;0,E7/D7,"")</f>
      </c>
      <c r="G7" s="8">
        <f>IF(E24&gt;0,E7/E24,"")</f>
      </c>
    </row>
    <row r="8">
      <c r="A8" s="3" t="s">
        <v>15</v>
      </c>
      <c r="B8" s="3" t="s">
        <v>10</v>
      </c>
      <c r="C8" s="5">
        <v>196</v>
      </c>
      <c r="D8" s="6">
        <v>252.95</v>
      </c>
      <c r="E8" s="5">
        <v>22515.85</v>
      </c>
      <c r="F8" s="7">
        <f>IF(D8&gt;0,E8/D8,"")</f>
      </c>
      <c r="G8" s="8">
        <f>IF(E24&gt;0,E8/E24,"")</f>
      </c>
    </row>
    <row r="9">
      <c r="A9" s="3" t="s">
        <v>16</v>
      </c>
      <c r="B9" s="9" t="s">
        <v>12</v>
      </c>
      <c r="C9" s="5">
        <v>55</v>
      </c>
      <c r="D9" s="6">
        <v>148.22</v>
      </c>
      <c r="E9" s="5">
        <v>15611.41</v>
      </c>
      <c r="F9" s="7">
        <f>IF(D9&gt;0,E9/D9,"")</f>
      </c>
      <c r="G9" s="8">
        <f>IF(E24&gt;0,E9/E24,"")</f>
      </c>
    </row>
    <row r="10">
      <c r="A10" s="3" t="s">
        <v>17</v>
      </c>
      <c r="B10" s="9" t="s">
        <v>12</v>
      </c>
      <c r="C10" s="5">
        <v>58</v>
      </c>
      <c r="D10" s="6">
        <v>123.91</v>
      </c>
      <c r="E10" s="5">
        <v>13331.73</v>
      </c>
      <c r="F10" s="7">
        <f>IF(D10&gt;0,E10/D10,"")</f>
      </c>
      <c r="G10" s="8">
        <f>IF(E24&gt;0,E10/E24,"")</f>
      </c>
    </row>
    <row r="11">
      <c r="A11" s="3" t="s">
        <v>18</v>
      </c>
      <c r="B11" s="3" t="s">
        <v>9</v>
      </c>
      <c r="C11" s="5">
        <v>55</v>
      </c>
      <c r="D11" s="6">
        <v>93.52</v>
      </c>
      <c r="E11" s="5">
        <v>9319.65</v>
      </c>
      <c r="F11" s="7">
        <f>IF(D11&gt;0,E11/D11,"")</f>
      </c>
      <c r="G11" s="8">
        <f>IF(E24&gt;0,E11/E24,"")</f>
      </c>
    </row>
    <row r="12">
      <c r="A12" s="3" t="s">
        <v>19</v>
      </c>
      <c r="B12" s="9" t="s">
        <v>12</v>
      </c>
      <c r="C12" s="5">
        <v>22</v>
      </c>
      <c r="D12" s="6">
        <v>46.41</v>
      </c>
      <c r="E12" s="5">
        <v>5407.62</v>
      </c>
      <c r="F12" s="7">
        <f>IF(D12&gt;0,E12/D12,"")</f>
      </c>
      <c r="G12" s="8">
        <f>IF(E24&gt;0,E12/E24,"")</f>
      </c>
    </row>
    <row r="13">
      <c r="A13" s="3" t="s">
        <v>18</v>
      </c>
      <c r="B13" s="3" t="s">
        <v>10</v>
      </c>
      <c r="C13" s="5">
        <v>44</v>
      </c>
      <c r="D13" s="6">
        <v>59.14</v>
      </c>
      <c r="E13" s="5">
        <v>5273.93</v>
      </c>
      <c r="F13" s="7">
        <f>IF(D13&gt;0,E13/D13,"")</f>
      </c>
      <c r="G13" s="8">
        <f>IF(E24&gt;0,E13/E24,"")</f>
      </c>
    </row>
    <row r="14">
      <c r="A14" s="3" t="s">
        <v>20</v>
      </c>
      <c r="B14" s="3" t="s">
        <v>9</v>
      </c>
      <c r="C14" s="5">
        <v>50</v>
      </c>
      <c r="D14" s="6">
        <v>50.74</v>
      </c>
      <c r="E14" s="5">
        <v>4434.62</v>
      </c>
      <c r="F14" s="7">
        <f>IF(D14&gt;0,E14/D14,"")</f>
      </c>
      <c r="G14" s="8">
        <f>IF(E24&gt;0,E14/E24,"")</f>
      </c>
    </row>
    <row r="15">
      <c r="A15" s="3" t="s">
        <v>21</v>
      </c>
      <c r="B15" s="3" t="s">
        <v>10</v>
      </c>
      <c r="C15" s="5">
        <v>33</v>
      </c>
      <c r="D15" s="6">
        <v>45.01</v>
      </c>
      <c r="E15" s="5">
        <v>3910.87</v>
      </c>
      <c r="F15" s="7">
        <f>IF(D15&gt;0,E15/D15,"")</f>
      </c>
      <c r="G15" s="8">
        <f>IF(E24&gt;0,E15/E24,"")</f>
      </c>
    </row>
    <row r="16">
      <c r="A16" s="3" t="s">
        <v>22</v>
      </c>
      <c r="B16" s="9" t="s">
        <v>12</v>
      </c>
      <c r="C16" s="5">
        <v>5</v>
      </c>
      <c r="D16" s="6">
        <v>19.16</v>
      </c>
      <c r="E16" s="5">
        <v>2059.01</v>
      </c>
      <c r="F16" s="7">
        <f>IF(D16&gt;0,E16/D16,"")</f>
      </c>
      <c r="G16" s="8">
        <f>IF(E24&gt;0,E16/E24,"")</f>
      </c>
    </row>
    <row r="17">
      <c r="A17" s="3" t="s">
        <v>23</v>
      </c>
      <c r="B17" s="3" t="s">
        <v>10</v>
      </c>
      <c r="C17" s="5">
        <v>16</v>
      </c>
      <c r="D17" s="6">
        <v>23.38</v>
      </c>
      <c r="E17" s="5">
        <v>1838.74</v>
      </c>
      <c r="F17" s="7">
        <f>IF(D17&gt;0,E17/D17,"")</f>
      </c>
      <c r="G17" s="8">
        <f>IF(E24&gt;0,E17/E24,"")</f>
      </c>
    </row>
    <row r="18">
      <c r="A18" s="3" t="s">
        <v>24</v>
      </c>
      <c r="B18" s="3" t="s">
        <v>10</v>
      </c>
      <c r="C18" s="5">
        <v>15</v>
      </c>
      <c r="D18" s="6">
        <v>16.08</v>
      </c>
      <c r="E18" s="5">
        <v>1357</v>
      </c>
      <c r="F18" s="7">
        <f>IF(D18&gt;0,E18/D18,"")</f>
      </c>
      <c r="G18" s="8">
        <f>IF(E24&gt;0,E18/E24,"")</f>
      </c>
    </row>
    <row r="19">
      <c r="A19" s="3" t="s">
        <v>25</v>
      </c>
      <c r="B19" s="3" t="s">
        <v>10</v>
      </c>
      <c r="C19" s="5">
        <v>4</v>
      </c>
      <c r="D19" s="6">
        <v>5.56</v>
      </c>
      <c r="E19" s="5">
        <v>458.53</v>
      </c>
      <c r="F19" s="7">
        <f>IF(D19&gt;0,E19/D19,"")</f>
      </c>
      <c r="G19" s="8">
        <f>IF(E24&gt;0,E19/E24,"")</f>
      </c>
    </row>
    <row r="20">
      <c r="A20" s="3" t="s">
        <v>13</v>
      </c>
      <c r="B20" s="9" t="s">
        <v>12</v>
      </c>
      <c r="C20" s="5">
        <v>1</v>
      </c>
      <c r="D20" s="6">
        <v>5.01</v>
      </c>
      <c r="E20" s="5">
        <v>298.1</v>
      </c>
      <c r="F20" s="7">
        <f>IF(D20&gt;0,E20/D20,"")</f>
      </c>
      <c r="G20" s="8">
        <f>IF(E24&gt;0,E20/E24,"")</f>
      </c>
    </row>
    <row r="21">
      <c r="A21" s="3" t="s">
        <v>26</v>
      </c>
      <c r="B21" s="3" t="s">
        <v>10</v>
      </c>
      <c r="C21" s="5">
        <v>2</v>
      </c>
      <c r="D21" s="6">
        <v>3.05</v>
      </c>
      <c r="E21" s="5">
        <v>279.08</v>
      </c>
      <c r="F21" s="7">
        <f>IF(D21&gt;0,E21/D21,"")</f>
      </c>
      <c r="G21" s="8">
        <f>IF(E24&gt;0,E21/E24,"")</f>
      </c>
    </row>
    <row r="22">
      <c r="A22" s="3" t="s">
        <v>27</v>
      </c>
      <c r="B22" s="9" t="s">
        <v>12</v>
      </c>
      <c r="C22" s="5">
        <v>1</v>
      </c>
      <c r="D22" s="6">
        <v>2.07</v>
      </c>
      <c r="E22" s="5">
        <v>267.34</v>
      </c>
      <c r="F22" s="7">
        <f>IF(D22&gt;0,E22/D22,"")</f>
      </c>
      <c r="G22" s="8">
        <f>IF(E24&gt;0,E22/E24,"")</f>
      </c>
    </row>
    <row r="23">
      <c r="A23" s="3" t="s">
        <v>28</v>
      </c>
      <c r="B23" s="3" t="s">
        <v>10</v>
      </c>
      <c r="C23" s="5">
        <v>1</v>
      </c>
      <c r="D23" s="6">
        <v>1</v>
      </c>
      <c r="E23" s="5">
        <v>92</v>
      </c>
      <c r="F23" s="7">
        <f>IF(D23&gt;0,E23/D23,"")</f>
      </c>
      <c r="G23" s="8">
        <f>IF(E24&gt;0,E23/E24,"")</f>
      </c>
    </row>
    <row r="24">
      <c r="A24" s="10" t="s">
        <v>29</v>
      </c>
      <c r="B24" s="10"/>
      <c r="C24" s="11">
        <f>SUM(C3:C23)</f>
      </c>
      <c r="D24" s="12">
        <f>SUM(D3:D23)</f>
      </c>
      <c r="E24" s="11">
        <f>SUM(E3:E23)</f>
      </c>
      <c r="F24" s="13">
        <f>IF(D24&gt;0,E24/D24,"")</f>
      </c>
      <c r="G24" s="14">
        <f>SUM(G3:G23)</f>
      </c>
    </row>
  </sheetData>
  <mergeCells>
    <mergeCell ref="A1:G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