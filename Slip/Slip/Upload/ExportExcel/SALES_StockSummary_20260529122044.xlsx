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<sst xmlns="http://schemas.openxmlformats.org/spreadsheetml/2006/main" count="19" uniqueCount="19">
  <si>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r>
      <rPr>
        <rFont val="Aptos Narrow"/>
        <b/>
        <color rgb="FF000000"/>
        <sz val="16"/>
      </rPr>
      <t xml:space="preserve">29-05-2026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</si>
  <si>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</si>
  <si>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</si>
  <si>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</si>
  <si>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</si>
  <si>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</si>
  <si>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</si>
  <si>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</si>
  <si>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</si>
  <si>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</si>
  <si>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</si>
  <si>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.00-1.1</t>
  </si>
  <si>
    <t>D</t>
  </si>
  <si>
    <t>E</t>
  </si>
  <si>
    <t>F</t>
  </si>
  <si>
    <t>G</t>
  </si>
  <si>
    <t>.20-1.3</t>
  </si>
  <si>
    <t>.50-1.5</t>
  </si>
  <si>
    <t>.00-2.1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</si>
</sst>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  <xf numFmtId="164" applyNumberFormat="1" fontId="3" applyFont="1" fillId="3" applyFill="1" borderId="1" applyBorder="1" xfId="0" applyAlignment="1">
      <alignment horizontal="center" vertical="center"/>
    </xf>
    <xf numFmtId="165" applyNumberFormat="1" fontId="3" applyFont="1" fillId="3" applyFill="1" borderId="1" applyBorder="1" xfId="0" applyAlignment="1">
      <alignment horizontal="center" vertical="center"/>
    </xf>
    <xf numFmtId="166" applyNumberFormat="1" fontId="3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SUM(B5:B8)</f>
      </c>
      <c r="C4" s="7">
        <f>SUM(C5:C8)</f>
      </c>
      <c r="D4" s="8">
        <f>IF(B4&gt;0,C4/B4,"")</f>
      </c>
      <c r="E4" s="6">
        <f>SUM(E5:E8)</f>
      </c>
      <c r="F4" s="7">
        <f>SUM(F5:F8)</f>
      </c>
      <c r="G4" s="8">
        <f>IF(E4&gt;0,F4/E4,"")</f>
      </c>
      <c r="H4" s="6">
        <f>SUM(H5:H8)</f>
      </c>
      <c r="I4" s="7">
        <f>SUM(I5:I8)</f>
      </c>
      <c r="J4" s="8">
        <f>IF(H4&gt;0,I4/H4,"")</f>
      </c>
      <c r="K4" s="6">
        <f>SUM(K5:K8)</f>
      </c>
      <c r="L4" s="7">
        <f>SUM(L5:L8)</f>
      </c>
      <c r="M4" s="8">
        <f>IF(K4&gt;0,L4/K4,"")</f>
      </c>
      <c r="N4" s="6">
        <f>SUM(N5:N8)</f>
      </c>
      <c r="O4" s="7">
        <f>SUM(O5:O8)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39.99</v>
      </c>
      <c r="C5" s="11">
        <v>4034.06</v>
      </c>
      <c r="D5" s="12">
        <f>IF(B5&gt;0,C5/B5,"")</f>
      </c>
      <c r="E5" s="10">
        <v>354.31</v>
      </c>
      <c r="F5" s="11">
        <v>29064.95</v>
      </c>
      <c r="G5" s="12">
        <f>IF(E5&gt;0,F5/E5,"")</f>
      </c>
      <c r="H5" s="10">
        <v>146.41</v>
      </c>
      <c r="I5" s="11">
        <v>11526.33</v>
      </c>
      <c r="J5" s="12">
        <f>IF(H5&gt;0,I5/H5,"")</f>
      </c>
      <c r="K5" s="10">
        <v>45.49</v>
      </c>
      <c r="L5" s="11">
        <v>3168.96</v>
      </c>
      <c r="M5" s="12">
        <f>IF(K5&gt;0,L5/K5,"")</f>
      </c>
      <c r="N5" s="10">
        <v>1.01</v>
      </c>
      <c r="O5" s="11">
        <v>64.64</v>
      </c>
      <c r="P5" s="12">
        <f>IF(N5&gt;0,O5/N5,"")</f>
      </c>
      <c r="S5" s="9"/>
      <c r="T5" s="9"/>
      <c r="U5" s="9"/>
      <c r="V5" s="9"/>
    </row>
    <row r="6">
      <c r="A6" s="9" t="s">
        <v>13</v>
      </c>
      <c r="B6" s="10">
        <v>19.29</v>
      </c>
      <c r="C6" s="11">
        <v>1890.56</v>
      </c>
      <c r="D6" s="12">
        <f>IF(B6&gt;0,C6/B6,"")</f>
      </c>
      <c r="E6" s="10">
        <v>337.83</v>
      </c>
      <c r="F6" s="11">
        <v>27926.54</v>
      </c>
      <c r="G6" s="12">
        <f>IF(E6&gt;0,F6/E6,"")</f>
      </c>
      <c r="H6" s="10">
        <v>217.27</v>
      </c>
      <c r="I6" s="11">
        <v>17484.11</v>
      </c>
      <c r="J6" s="12">
        <f>IF(H6&gt;0,I6/H6,"")</f>
      </c>
      <c r="K6" s="10">
        <v>36.08</v>
      </c>
      <c r="L6" s="11">
        <v>2559.38</v>
      </c>
      <c r="M6" s="12">
        <f>IF(K6&gt;0,L6/K6,"")</f>
      </c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>
        <v>12.34</v>
      </c>
      <c r="C7" s="11">
        <v>1167.27</v>
      </c>
      <c r="D7" s="12">
        <f>IF(B7&gt;0,C7/B7,"")</f>
      </c>
      <c r="E7" s="10">
        <v>290.85</v>
      </c>
      <c r="F7" s="11">
        <v>23446.23</v>
      </c>
      <c r="G7" s="12">
        <f>IF(E7&gt;0,F7/E7,"")</f>
      </c>
      <c r="H7" s="10">
        <v>139.5</v>
      </c>
      <c r="I7" s="11">
        <v>11169.66</v>
      </c>
      <c r="J7" s="12">
        <f>IF(H7&gt;0,I7/H7,"")</f>
      </c>
      <c r="K7" s="10">
        <v>20.67</v>
      </c>
      <c r="L7" s="11">
        <v>1578.18</v>
      </c>
      <c r="M7" s="12">
        <f>IF(K7&gt;0,L7/K7,"")</f>
      </c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>
        <v>4.08</v>
      </c>
      <c r="C8" s="11">
        <v>352.72</v>
      </c>
      <c r="D8" s="12">
        <f>IF(B8&gt;0,C8/B8,"")</f>
      </c>
      <c r="E8" s="10">
        <v>75.69</v>
      </c>
      <c r="F8" s="11">
        <v>5515.72</v>
      </c>
      <c r="G8" s="12">
        <f>IF(E8&gt;0,F8/E8,"")</f>
      </c>
      <c r="H8" s="10">
        <v>61.46</v>
      </c>
      <c r="I8" s="11">
        <v>4409.06</v>
      </c>
      <c r="J8" s="12">
        <f>IF(H8&gt;0,I8/H8,"")</f>
      </c>
      <c r="K8" s="10">
        <v>2.11</v>
      </c>
      <c r="L8" s="11">
        <v>193.26</v>
      </c>
      <c r="M8" s="12">
        <f>IF(K8&gt;0,L8/K8,"")</f>
      </c>
      <c r="N8" s="10">
        <v>2.06</v>
      </c>
      <c r="O8" s="11">
        <v>122.58</v>
      </c>
      <c r="P8" s="12">
        <f>IF(N8&gt;0,O8/N8,"")</f>
      </c>
      <c r="S8" s="9"/>
      <c r="T8" s="9"/>
      <c r="U8" s="9"/>
      <c r="V8" s="9"/>
    </row>
    <row r="9">
      <c r="A9" s="5" t="s">
        <v>16</v>
      </c>
      <c r="B9" s="6">
        <f>SUM(B10:B13)</f>
      </c>
      <c r="C9" s="7">
        <f>SUM(C10:C13)</f>
      </c>
      <c r="D9" s="8">
        <f>IF(B9&gt;0,C9/B9,"")</f>
      </c>
      <c r="E9" s="6">
        <f>SUM(E10:E13)</f>
      </c>
      <c r="F9" s="7">
        <f>SUM(F10:F13)</f>
      </c>
      <c r="G9" s="8">
        <f>IF(E9&gt;0,F9/E9,"")</f>
      </c>
      <c r="H9" s="6">
        <f>SUM(H10:H13)</f>
      </c>
      <c r="I9" s="7">
        <f>SUM(I10:I13)</f>
      </c>
      <c r="J9" s="8">
        <f>IF(H9&gt;0,I9/H9,"")</f>
      </c>
      <c r="K9" s="6">
        <f>SUM(K10:K13)</f>
      </c>
      <c r="L9" s="7">
        <f>SUM(L10:L13)</f>
      </c>
      <c r="M9" s="8">
        <f>IF(K9&gt;0,L9/K9,"")</f>
      </c>
      <c r="N9" s="6">
        <f>SUM(N10:N13)</f>
      </c>
      <c r="O9" s="7">
        <f>SUM(O10:O13)</f>
      </c>
      <c r="P9" s="8">
        <f>IF(N9&gt;0,O9/N9,"")</f>
      </c>
      <c r="S9" s="14">
        <f>IF(B9&gt;0,C9/B9,"")</f>
      </c>
      <c r="T9" s="14">
        <f>IF(E9&gt;0,F9/E9,"")</f>
      </c>
      <c r="U9" s="14">
        <f>IF((H9+K9)&gt;0,(I9+L9)/(H9+K9),"")</f>
      </c>
      <c r="V9" s="14">
        <f>IF(N9&gt;0,O9/N9,"")</f>
      </c>
    </row>
    <row r="10">
      <c r="A10" s="9" t="s">
        <v>12</v>
      </c>
      <c r="B10" s="10"/>
      <c r="C10" s="11"/>
      <c r="D10" s="12"/>
      <c r="E10" s="10">
        <v>41.04</v>
      </c>
      <c r="F10" s="11">
        <v>3381.46</v>
      </c>
      <c r="G10" s="12">
        <f>IF(E10&gt;0,F10/E10,"")</f>
      </c>
      <c r="H10" s="10">
        <v>21.1</v>
      </c>
      <c r="I10" s="11">
        <v>1607.55</v>
      </c>
      <c r="J10" s="12">
        <f>IF(H10&gt;0,I10/H10,"")</f>
      </c>
      <c r="K10" s="10">
        <v>2.46</v>
      </c>
      <c r="L10" s="11">
        <v>174.59</v>
      </c>
      <c r="M10" s="12">
        <f>IF(K10&gt;0,L10/K10,"")</f>
      </c>
      <c r="N10" s="10"/>
      <c r="O10" s="11"/>
      <c r="P10" s="12"/>
      <c r="S10" s="9"/>
      <c r="T10" s="9"/>
      <c r="U10" s="9"/>
      <c r="V10" s="9"/>
    </row>
    <row r="11">
      <c r="A11" s="9" t="s">
        <v>13</v>
      </c>
      <c r="B11" s="10">
        <v>12.6</v>
      </c>
      <c r="C11" s="11">
        <v>1213.73</v>
      </c>
      <c r="D11" s="12">
        <f>IF(B11&gt;0,C11/B11,"")</f>
      </c>
      <c r="E11" s="10">
        <v>75.06</v>
      </c>
      <c r="F11" s="11">
        <v>6014.07</v>
      </c>
      <c r="G11" s="12">
        <f>IF(E11&gt;0,F11/E11,"")</f>
      </c>
      <c r="H11" s="10">
        <v>32.39</v>
      </c>
      <c r="I11" s="11">
        <v>2434.18</v>
      </c>
      <c r="J11" s="12">
        <f>IF(H11&gt;0,I11/H11,"")</f>
      </c>
      <c r="K11" s="10">
        <v>3.66</v>
      </c>
      <c r="L11" s="11">
        <v>254.06</v>
      </c>
      <c r="M11" s="12">
        <f>IF(K11&gt;0,L11/K11,"")</f>
      </c>
      <c r="N11" s="10"/>
      <c r="O11" s="11"/>
      <c r="P11" s="12"/>
      <c r="S11" s="9"/>
      <c r="T11" s="9"/>
      <c r="U11" s="9"/>
      <c r="V11" s="9"/>
    </row>
    <row r="12">
      <c r="A12" s="9" t="s">
        <v>14</v>
      </c>
      <c r="B12" s="10">
        <v>3.72</v>
      </c>
      <c r="C12" s="11">
        <v>323.64</v>
      </c>
      <c r="D12" s="12">
        <f>IF(B12&gt;0,C12/B12,"")</f>
      </c>
      <c r="E12" s="10">
        <v>24.66</v>
      </c>
      <c r="F12" s="11">
        <v>1999.93</v>
      </c>
      <c r="G12" s="12">
        <f>IF(E12&gt;0,F12/E12,"")</f>
      </c>
      <c r="H12" s="10">
        <v>8.51</v>
      </c>
      <c r="I12" s="11">
        <v>643.72</v>
      </c>
      <c r="J12" s="12">
        <f>IF(H12&gt;0,I12/H12,"")</f>
      </c>
      <c r="K12" s="10">
        <v>1.21</v>
      </c>
      <c r="L12" s="11">
        <v>81.07</v>
      </c>
      <c r="M12" s="12">
        <f>IF(K12&gt;0,L12/K12,"")</f>
      </c>
      <c r="N12" s="10"/>
      <c r="O12" s="11"/>
      <c r="P12" s="12"/>
      <c r="S12" s="9"/>
      <c r="T12" s="9"/>
      <c r="U12" s="9"/>
      <c r="V12" s="9"/>
    </row>
    <row r="13">
      <c r="A13" s="9" t="s">
        <v>15</v>
      </c>
      <c r="B13" s="10"/>
      <c r="C13" s="11"/>
      <c r="D13" s="12"/>
      <c r="E13" s="10">
        <v>7.41</v>
      </c>
      <c r="F13" s="11">
        <v>527.37</v>
      </c>
      <c r="G13" s="12">
        <f>IF(E13&gt;0,F13/E13,"")</f>
      </c>
      <c r="H13" s="10">
        <v>9.81</v>
      </c>
      <c r="I13" s="11">
        <v>674.25</v>
      </c>
      <c r="J13" s="12">
        <f>IF(H13&gt;0,I13/H13,"")</f>
      </c>
      <c r="K13" s="10"/>
      <c r="L13" s="11"/>
      <c r="M13" s="12"/>
      <c r="N13" s="10">
        <v>1.26</v>
      </c>
      <c r="O13" s="11">
        <v>78.32</v>
      </c>
      <c r="P13" s="12">
        <f>IF(N13&gt;0,O13/N13,"")</f>
      </c>
      <c r="S13" s="9"/>
      <c r="T13" s="9"/>
      <c r="U13" s="9"/>
      <c r="V13" s="9"/>
    </row>
    <row r="14">
      <c r="A14" s="5" t="s">
        <v>17</v>
      </c>
      <c r="B14" s="6">
        <f>SUM(B15:B18)</f>
      </c>
      <c r="C14" s="7">
        <f>SUM(C15:C18)</f>
      </c>
      <c r="D14" s="8">
        <f>IF(B14&gt;0,C14/B14,"")</f>
      </c>
      <c r="E14" s="6">
        <f>SUM(E15:E18)</f>
      </c>
      <c r="F14" s="7">
        <f>SUM(F15:F18)</f>
      </c>
      <c r="G14" s="8">
        <f>IF(E14&gt;0,F14/E14,"")</f>
      </c>
      <c r="H14" s="6">
        <f>SUM(H15:H18)</f>
      </c>
      <c r="I14" s="7">
        <f>SUM(I15:I18)</f>
      </c>
      <c r="J14" s="8">
        <f>IF(H14&gt;0,I14/H14,"")</f>
      </c>
      <c r="K14" s="6">
        <f>SUM(K15:K18)</f>
      </c>
      <c r="L14" s="7">
        <f>SUM(L15:L18)</f>
      </c>
      <c r="M14" s="8">
        <f>IF(K14&gt;0,L14/K14,"")</f>
      </c>
      <c r="N14" s="6">
        <f>SUM(N15:N18)</f>
      </c>
      <c r="O14" s="7">
        <f>SUM(O15:O18)</f>
      </c>
      <c r="P14" s="8">
        <f>IF(N14&gt;0,O14/N14,"")</f>
      </c>
      <c r="S14" s="14">
        <f>IF(B14&gt;0,C14/B14,"")</f>
      </c>
      <c r="T14" s="14">
        <f>IF(E14&gt;0,F14/E14,"")</f>
      </c>
      <c r="U14" s="14">
        <f>IF((H14+K14)&gt;0,(I14+L14)/(H14+K14),"")</f>
      </c>
      <c r="V14" s="14">
        <f>IF(N14&gt;0,O14/N14,"")</f>
      </c>
    </row>
    <row r="15">
      <c r="A15" s="9" t="s">
        <v>12</v>
      </c>
      <c r="B15" s="10">
        <v>7.53</v>
      </c>
      <c r="C15" s="11">
        <v>852.5</v>
      </c>
      <c r="D15" s="12">
        <f>IF(B15&gt;0,C15/B15,"")</f>
      </c>
      <c r="E15" s="10">
        <v>184.41</v>
      </c>
      <c r="F15" s="11">
        <v>15356.47</v>
      </c>
      <c r="G15" s="12">
        <f>IF(E15&gt;0,F15/E15,"")</f>
      </c>
      <c r="H15" s="10">
        <v>116</v>
      </c>
      <c r="I15" s="11">
        <v>8761.94</v>
      </c>
      <c r="J15" s="12">
        <f>IF(H15&gt;0,I15/H15,"")</f>
      </c>
      <c r="K15" s="10">
        <v>31.74</v>
      </c>
      <c r="L15" s="11">
        <v>2235.3</v>
      </c>
      <c r="M15" s="12">
        <f>IF(K15&gt;0,L15/K15,"")</f>
      </c>
      <c r="N15" s="10">
        <v>1.51</v>
      </c>
      <c r="O15" s="11">
        <v>123.82</v>
      </c>
      <c r="P15" s="12">
        <f>IF(N15&gt;0,O15/N15,"")</f>
      </c>
      <c r="S15" s="9"/>
      <c r="T15" s="9"/>
      <c r="U15" s="9"/>
      <c r="V15" s="9"/>
    </row>
    <row r="16">
      <c r="A16" s="9" t="s">
        <v>13</v>
      </c>
      <c r="B16" s="10">
        <v>16.85</v>
      </c>
      <c r="C16" s="11">
        <v>1794.62</v>
      </c>
      <c r="D16" s="12">
        <f>IF(B16&gt;0,C16/B16,"")</f>
      </c>
      <c r="E16" s="10">
        <v>320.7</v>
      </c>
      <c r="F16" s="11">
        <v>26415.43</v>
      </c>
      <c r="G16" s="12">
        <f>IF(E16&gt;0,F16/E16,"")</f>
      </c>
      <c r="H16" s="10">
        <v>148.16</v>
      </c>
      <c r="I16" s="11">
        <v>11077.99</v>
      </c>
      <c r="J16" s="12">
        <f>IF(H16&gt;0,I16/H16,"")</f>
      </c>
      <c r="K16" s="10">
        <v>22.87</v>
      </c>
      <c r="L16" s="11">
        <v>1619.07</v>
      </c>
      <c r="M16" s="12">
        <f>IF(K16&gt;0,L16/K16,"")</f>
      </c>
      <c r="N16" s="10"/>
      <c r="O16" s="11"/>
      <c r="P16" s="12"/>
      <c r="S16" s="9"/>
      <c r="T16" s="9"/>
      <c r="U16" s="9"/>
      <c r="V16" s="9"/>
    </row>
    <row r="17">
      <c r="A17" s="9" t="s">
        <v>14</v>
      </c>
      <c r="B17" s="10">
        <v>4.56</v>
      </c>
      <c r="C17" s="11">
        <v>453.12</v>
      </c>
      <c r="D17" s="12">
        <f>IF(B17&gt;0,C17/B17,"")</f>
      </c>
      <c r="E17" s="10">
        <v>228.48</v>
      </c>
      <c r="F17" s="11">
        <v>17965.63</v>
      </c>
      <c r="G17" s="12">
        <f>IF(E17&gt;0,F17/E17,"")</f>
      </c>
      <c r="H17" s="10">
        <v>137.36</v>
      </c>
      <c r="I17" s="11">
        <v>10317.4</v>
      </c>
      <c r="J17" s="12">
        <f>IF(H17&gt;0,I17/H17,"")</f>
      </c>
      <c r="K17" s="10">
        <v>34.8</v>
      </c>
      <c r="L17" s="11">
        <v>2473.88</v>
      </c>
      <c r="M17" s="12">
        <f>IF(K17&gt;0,L17/K17,"")</f>
      </c>
      <c r="N17" s="10"/>
      <c r="O17" s="11"/>
      <c r="P17" s="12"/>
      <c r="S17" s="9"/>
      <c r="T17" s="9"/>
      <c r="U17" s="9"/>
      <c r="V17" s="9"/>
    </row>
    <row r="18">
      <c r="A18" s="9" t="s">
        <v>15</v>
      </c>
      <c r="B18" s="10"/>
      <c r="C18" s="11"/>
      <c r="D18" s="12"/>
      <c r="E18" s="10">
        <v>29.3</v>
      </c>
      <c r="F18" s="11">
        <v>2131.77</v>
      </c>
      <c r="G18" s="12">
        <f>IF(E18&gt;0,F18/E18,"")</f>
      </c>
      <c r="H18" s="10">
        <v>10.91</v>
      </c>
      <c r="I18" s="11">
        <v>778.82</v>
      </c>
      <c r="J18" s="12">
        <f>IF(H18&gt;0,I18/H18,"")</f>
      </c>
      <c r="K18" s="10">
        <v>3.02</v>
      </c>
      <c r="L18" s="11">
        <v>217.44</v>
      </c>
      <c r="M18" s="12">
        <f>IF(K18&gt;0,L18/K18,"")</f>
      </c>
      <c r="N18" s="10"/>
      <c r="O18" s="11"/>
      <c r="P18" s="12"/>
      <c r="S18" s="9"/>
      <c r="T18" s="9"/>
      <c r="U18" s="9"/>
      <c r="V18" s="9"/>
    </row>
    <row r="19">
      <c r="A19" s="5" t="s">
        <v>18</v>
      </c>
      <c r="B19" s="6">
        <f>SUM(B20:B23)</f>
      </c>
      <c r="C19" s="7">
        <f>SUM(C20:C23)</f>
      </c>
      <c r="D19" s="8">
        <f>IF(B19&gt;0,C19/B19,"")</f>
      </c>
      <c r="E19" s="6">
        <f>SUM(E20:E23)</f>
      </c>
      <c r="F19" s="7">
        <f>SUM(F20:F23)</f>
      </c>
      <c r="G19" s="8">
        <f>IF(E19&gt;0,F19/E19,"")</f>
      </c>
      <c r="H19" s="6">
        <f>SUM(H20:H23)</f>
      </c>
      <c r="I19" s="7">
        <f>SUM(I20:I23)</f>
      </c>
      <c r="J19" s="8">
        <f>IF(H19&gt;0,I19/H19,"")</f>
      </c>
      <c r="K19" s="6">
        <f>SUM(K20:K23)</f>
      </c>
      <c r="L19" s="7">
        <f>SUM(L20:L23)</f>
      </c>
      <c r="M19" s="8">
        <f>IF(K19&gt;0,L19/K19,"")</f>
      </c>
      <c r="N19" s="6">
        <f>SUM(N20:N23)</f>
      </c>
      <c r="O19" s="7">
        <f>SUM(O20:O23)</f>
      </c>
      <c r="P19" s="8">
        <f>IF(N19&gt;0,O19/N19,"")</f>
      </c>
      <c r="S19" s="14">
        <f>IF(B19&gt;0,C19/B19,"")</f>
      </c>
      <c r="T19" s="14">
        <f>IF(E19&gt;0,F19/E19,"")</f>
      </c>
      <c r="U19" s="14">
        <f>IF((H19+K19)&gt;0,(I19+L19)/(H19+K19),"")</f>
      </c>
      <c r="V19" s="14">
        <f>IF(N19&gt;0,O19/N19,"")</f>
      </c>
    </row>
    <row r="20">
      <c r="A20" s="9" t="s">
        <v>12</v>
      </c>
      <c r="B20" s="10">
        <v>2.04</v>
      </c>
      <c r="C20" s="11">
        <v>267.44</v>
      </c>
      <c r="D20" s="12">
        <f>IF(B20&gt;0,C20/B20,"")</f>
      </c>
      <c r="E20" s="10">
        <v>28.48</v>
      </c>
      <c r="F20" s="11">
        <v>2716.09</v>
      </c>
      <c r="G20" s="12">
        <f>IF(E20&gt;0,F20/E20,"")</f>
      </c>
      <c r="H20" s="10">
        <v>34.32</v>
      </c>
      <c r="I20" s="11">
        <v>3194.47</v>
      </c>
      <c r="J20" s="12">
        <f>IF(H20&gt;0,I20/H20,"")</f>
      </c>
      <c r="K20" s="10">
        <v>6.07</v>
      </c>
      <c r="L20" s="11">
        <v>437.04</v>
      </c>
      <c r="M20" s="12">
        <f>IF(K20&gt;0,L20/K20,"")</f>
      </c>
      <c r="N20" s="10"/>
      <c r="O20" s="11"/>
      <c r="P20" s="12"/>
      <c r="S20" s="9"/>
      <c r="T20" s="9"/>
      <c r="U20" s="9"/>
      <c r="V20" s="9"/>
    </row>
    <row r="21">
      <c r="A21" s="9" t="s">
        <v>13</v>
      </c>
      <c r="B21" s="10">
        <v>8.15</v>
      </c>
      <c r="C21" s="11">
        <v>910.14</v>
      </c>
      <c r="D21" s="12">
        <f>IF(B21&gt;0,C21/B21,"")</f>
      </c>
      <c r="E21" s="10">
        <v>81.58</v>
      </c>
      <c r="F21" s="11">
        <v>6830.63</v>
      </c>
      <c r="G21" s="12">
        <f>IF(E21&gt;0,F21/E21,"")</f>
      </c>
      <c r="H21" s="10">
        <v>50.69</v>
      </c>
      <c r="I21" s="11">
        <v>4299.88</v>
      </c>
      <c r="J21" s="12">
        <f>IF(H21&gt;0,I21/H21,"")</f>
      </c>
      <c r="K21" s="10">
        <v>10.05</v>
      </c>
      <c r="L21" s="11">
        <v>703.5</v>
      </c>
      <c r="M21" s="12">
        <f>IF(K21&gt;0,L21/K21,"")</f>
      </c>
      <c r="N21" s="10"/>
      <c r="O21" s="11"/>
      <c r="P21" s="12"/>
      <c r="S21" s="9"/>
      <c r="T21" s="9"/>
      <c r="U21" s="9"/>
      <c r="V21" s="9"/>
    </row>
    <row r="22">
      <c r="A22" s="9" t="s">
        <v>14</v>
      </c>
      <c r="B22" s="10">
        <v>4.04</v>
      </c>
      <c r="C22" s="11">
        <v>464.6</v>
      </c>
      <c r="D22" s="12">
        <f>IF(B22&gt;0,C22/B22,"")</f>
      </c>
      <c r="E22" s="10">
        <v>89.3</v>
      </c>
      <c r="F22" s="11">
        <v>7060.75</v>
      </c>
      <c r="G22" s="12">
        <f>IF(E22&gt;0,F22/E22,"")</f>
      </c>
      <c r="H22" s="10">
        <v>105.54</v>
      </c>
      <c r="I22" s="11">
        <v>8390.94</v>
      </c>
      <c r="J22" s="12">
        <f>IF(H22&gt;0,I22/H22,"")</f>
      </c>
      <c r="K22" s="10">
        <v>10.11</v>
      </c>
      <c r="L22" s="11">
        <v>768.68</v>
      </c>
      <c r="M22" s="12">
        <f>IF(K22&gt;0,L22/K22,"")</f>
      </c>
      <c r="N22" s="10">
        <v>2</v>
      </c>
      <c r="O22" s="11">
        <v>142</v>
      </c>
      <c r="P22" s="12">
        <f>IF(N22&gt;0,O22/N22,"")</f>
      </c>
      <c r="S22" s="9"/>
      <c r="T22" s="9"/>
      <c r="U22" s="9"/>
      <c r="V22" s="9"/>
    </row>
    <row r="23">
      <c r="A23" s="9" t="s">
        <v>15</v>
      </c>
      <c r="B23" s="10"/>
      <c r="C23" s="11"/>
      <c r="D23" s="12"/>
      <c r="E23" s="10">
        <v>8.19</v>
      </c>
      <c r="F23" s="11">
        <v>600.48</v>
      </c>
      <c r="G23" s="12">
        <f>IF(E23&gt;0,F23/E23,"")</f>
      </c>
      <c r="H23" s="10">
        <v>22.4</v>
      </c>
      <c r="I23" s="11">
        <v>1808.48</v>
      </c>
      <c r="J23" s="12">
        <f>IF(H23&gt;0,I23/H23,"")</f>
      </c>
      <c r="K23" s="10">
        <v>4.02</v>
      </c>
      <c r="L23" s="11">
        <v>318.41</v>
      </c>
      <c r="M23" s="12">
        <f>IF(K23&gt;0,L23/K23,"")</f>
      </c>
      <c r="N23" s="10">
        <v>2.01</v>
      </c>
      <c r="O23" s="11">
        <v>136.68</v>
      </c>
      <c r="P23" s="12">
        <f>IF(N23&gt;0,O23/N23,"")</f>
      </c>
      <c r="S23" s="9"/>
      <c r="T23" s="9"/>
      <c r="U23" s="9"/>
      <c r="V23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