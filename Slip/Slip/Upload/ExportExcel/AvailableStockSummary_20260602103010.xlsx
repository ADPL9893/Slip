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</sheets>
  <calcPr fullCalcOnLoad="1" fullPrecision="1"/>
</workbook>
</file>

<file path=xl/sharedStrings.xml><?xml version="1.0" encoding="utf-8"?>
<sst xmlns="http://schemas.openxmlformats.org/spreadsheetml/2006/main" count="64" uniqueCount="64">
  <si>
    <t>ROUND 3EX (IGI STOCK) PERCENTAGE WISE REPORT</t>
  </si>
  <si>
    <t>02-06-26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</si>
  <si>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</si>
  <si>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</si>
  <si>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</si>
  <si>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</si>
  <si>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</si>
  <si>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</si>
  <si>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</si>
  <si>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</si>
  <si>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</si>
  <si>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</si>
  <si>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</si>
  <si>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</si>
  <si>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</si>
  <si>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</si>
  <si>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</si>
  <si>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</si>
  <si>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1.11-1.19</t>
  </si>
  <si>
    <t>1.20-1.30</t>
  </si>
  <si>
    <t>I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</si>
  <si>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</si>
  <si>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</si>
  <si>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</si>
  <si>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</si>
  <si>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</si>
  <si>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</si>
  <si>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</si>
  <si>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</si>
  <si>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</si>
  <si>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</si>
  <si>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</si>
  <si>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</si>
  <si>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</si>
  <si>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</si>
  <si>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</si>
  <si>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</si>
  <si>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</si>
  <si>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t>IGI STOCK ANALYSIS REPORT</t>
  </si>
  <si>
    <t>Pcs</t>
  </si>
  <si>
    <t>Total $</t>
  </si>
  <si>
    <t>Color</t>
  </si>
  <si>
    <t>Clarity</t>
  </si>
  <si>
    <t>CUT</t>
  </si>
  <si>
    <t>EX</t>
  </si>
  <si>
    <t>VG</t>
  </si>
  <si>
    <t>3.11-3.49</t>
  </si>
  <si>
    <t/>
  </si>
  <si>
    <t>3.61-3.99</t>
  </si>
  <si>
    <t>4.11-4.49</t>
  </si>
  <si>
    <t>4.50-4.99</t>
  </si>
  <si>
    <t>5.11-5.99</t>
  </si>
  <si>
    <t>7.00-7.99</t>
  </si>
  <si>
    <t>9.00-9.99</t>
  </si>
  <si>
    <t>02-06-2026 STOCK SUMMARY REPORT</t>
  </si>
  <si>
    <t>MUMBAI</t>
  </si>
  <si>
    <t>NY</t>
  </si>
  <si>
    <t>Total Pcs</t>
  </si>
  <si>
    <t>Total Weight</t>
  </si>
  <si>
    <t>Total Total $</t>
  </si>
  <si>
    <t>Per Ct</t>
  </si>
  <si>
    <t>WHITE STOCK</t>
  </si>
  <si>
    <t>COLOR STOCK</t>
  </si>
  <si>
    <t>TOTAL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</si>
</sst>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1"/>
      <color rgb="FF000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6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5" applyFont="1" xfId="0" applyAlignment="1">
      <alignment horizontal="center" vertical="center"/>
    </xf>
    <xf numFmtId="0" fontId="6" applyFont="1" fillId="8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4" applyFont="1" fillId="6" applyFill="1" borderId="1" applyBorder="1" xfId="0" applyAlignment="1">
      <alignment horizontal="center" vertical="center"/>
    </xf>
    <xf numFmtId="165" applyNumberFormat="1" fontId="4" applyFont="1" fillId="6" applyFill="1" borderId="1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0" fontId="4" applyFont="1" fillId="13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7" applyNumberFormat="1" fontId="1" applyFont="1" fillId="14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54</v>
      </c>
      <c r="C4" s="7">
        <v>0.99</v>
      </c>
      <c r="D4" s="8">
        <v>917</v>
      </c>
      <c r="E4" s="7">
        <v>16.75</v>
      </c>
      <c r="F4" s="8">
        <v>1475</v>
      </c>
      <c r="G4" s="7">
        <v>26.95</v>
      </c>
      <c r="H4" s="8">
        <v>214</v>
      </c>
      <c r="I4" s="7">
        <v>3.91</v>
      </c>
      <c r="J4" s="8">
        <v>179</v>
      </c>
      <c r="K4" s="7">
        <v>3.27</v>
      </c>
      <c r="L4" s="8">
        <v>4</v>
      </c>
      <c r="M4" s="7">
        <v>0.08</v>
      </c>
      <c r="N4" s="8">
        <v>2843</v>
      </c>
      <c r="O4" s="9">
        <v>51.95</v>
      </c>
    </row>
    <row r="5">
      <c r="A5" s="10" t="s">
        <v>13</v>
      </c>
      <c r="B5" s="11">
        <v>17</v>
      </c>
      <c r="C5" s="10">
        <v>0.31</v>
      </c>
      <c r="D5" s="11">
        <v>287</v>
      </c>
      <c r="E5" s="10">
        <v>5.24</v>
      </c>
      <c r="F5" s="11">
        <v>701</v>
      </c>
      <c r="G5" s="10">
        <v>12.81</v>
      </c>
      <c r="H5" s="11">
        <v>98</v>
      </c>
      <c r="I5" s="10">
        <v>1.79</v>
      </c>
      <c r="J5" s="11">
        <v>56</v>
      </c>
      <c r="K5" s="10">
        <v>1.02</v>
      </c>
      <c r="L5" s="11">
        <v>1</v>
      </c>
      <c r="M5" s="10">
        <v>0.02</v>
      </c>
      <c r="N5" s="12">
        <v>1160</v>
      </c>
      <c r="O5" s="13">
        <v>21.19</v>
      </c>
    </row>
    <row r="6">
      <c r="A6" s="10" t="s">
        <v>14</v>
      </c>
      <c r="B6" s="11">
        <v>20</v>
      </c>
      <c r="C6" s="10">
        <v>0.37</v>
      </c>
      <c r="D6" s="11">
        <v>353</v>
      </c>
      <c r="E6" s="10">
        <v>6.45</v>
      </c>
      <c r="F6" s="11">
        <v>444</v>
      </c>
      <c r="G6" s="10">
        <v>8.11</v>
      </c>
      <c r="H6" s="11">
        <v>55</v>
      </c>
      <c r="I6" s="10">
        <v>1</v>
      </c>
      <c r="J6" s="11">
        <v>94</v>
      </c>
      <c r="K6" s="10">
        <v>1.72</v>
      </c>
      <c r="L6" s="11">
        <v>2</v>
      </c>
      <c r="M6" s="10">
        <v>0.04</v>
      </c>
      <c r="N6" s="12">
        <v>968</v>
      </c>
      <c r="O6" s="13">
        <v>17.69</v>
      </c>
    </row>
    <row r="7">
      <c r="A7" s="10" t="s">
        <v>15</v>
      </c>
      <c r="B7" s="11">
        <v>13</v>
      </c>
      <c r="C7" s="10">
        <v>0.24</v>
      </c>
      <c r="D7" s="11">
        <v>230</v>
      </c>
      <c r="E7" s="10">
        <v>4.2</v>
      </c>
      <c r="F7" s="11">
        <v>301</v>
      </c>
      <c r="G7" s="10">
        <v>5.5</v>
      </c>
      <c r="H7" s="11">
        <v>54</v>
      </c>
      <c r="I7" s="10">
        <v>0.99</v>
      </c>
      <c r="J7" s="11">
        <v>25</v>
      </c>
      <c r="K7" s="10">
        <v>0.46</v>
      </c>
      <c r="L7" s="11">
        <v>1</v>
      </c>
      <c r="M7" s="10">
        <v>0.02</v>
      </c>
      <c r="N7" s="12">
        <v>624</v>
      </c>
      <c r="O7" s="13">
        <v>11.41</v>
      </c>
    </row>
    <row r="8">
      <c r="A8" s="10" t="s">
        <v>16</v>
      </c>
      <c r="B8" s="11">
        <v>4</v>
      </c>
      <c r="C8" s="10">
        <v>0.07</v>
      </c>
      <c r="D8" s="11">
        <v>42</v>
      </c>
      <c r="E8" s="10">
        <v>0.77</v>
      </c>
      <c r="F8" s="11">
        <v>24</v>
      </c>
      <c r="G8" s="10">
        <v>0.44</v>
      </c>
      <c r="H8" s="11">
        <v>7</v>
      </c>
      <c r="I8" s="10">
        <v>0.13</v>
      </c>
      <c r="J8" s="11">
        <v>4</v>
      </c>
      <c r="K8" s="10">
        <v>0.07</v>
      </c>
      <c r="L8" s="11"/>
      <c r="M8" s="10"/>
      <c r="N8" s="12">
        <v>81</v>
      </c>
      <c r="O8" s="13">
        <v>1.48</v>
      </c>
    </row>
    <row r="9">
      <c r="A9" s="10" t="s">
        <v>17</v>
      </c>
      <c r="B9" s="11"/>
      <c r="C9" s="10"/>
      <c r="D9" s="11">
        <v>5</v>
      </c>
      <c r="E9" s="10">
        <v>0.09</v>
      </c>
      <c r="F9" s="11">
        <v>5</v>
      </c>
      <c r="G9" s="10">
        <v>0.09</v>
      </c>
      <c r="H9" s="11"/>
      <c r="I9" s="10"/>
      <c r="J9" s="11"/>
      <c r="K9" s="10"/>
      <c r="L9" s="11"/>
      <c r="M9" s="10"/>
      <c r="N9" s="12">
        <v>10</v>
      </c>
      <c r="O9" s="13">
        <v>0.18</v>
      </c>
    </row>
    <row r="10">
      <c r="A10" s="7" t="s">
        <v>18</v>
      </c>
      <c r="B10" s="12"/>
      <c r="C10" s="14"/>
      <c r="D10" s="8">
        <v>16</v>
      </c>
      <c r="E10" s="7">
        <v>0.29</v>
      </c>
      <c r="F10" s="8">
        <v>31</v>
      </c>
      <c r="G10" s="7">
        <v>0.58</v>
      </c>
      <c r="H10" s="8">
        <v>17</v>
      </c>
      <c r="I10" s="7">
        <v>0.3</v>
      </c>
      <c r="J10" s="8">
        <v>3</v>
      </c>
      <c r="K10" s="7">
        <v>0.05</v>
      </c>
      <c r="L10" s="12"/>
      <c r="M10" s="14"/>
      <c r="N10" s="8">
        <v>67</v>
      </c>
      <c r="O10" s="9">
        <v>1.22</v>
      </c>
    </row>
    <row r="11">
      <c r="A11" s="10" t="s">
        <v>13</v>
      </c>
      <c r="B11" s="11"/>
      <c r="C11" s="10"/>
      <c r="D11" s="11">
        <v>3</v>
      </c>
      <c r="E11" s="10">
        <v>0.05</v>
      </c>
      <c r="F11" s="11">
        <v>2</v>
      </c>
      <c r="G11" s="10">
        <v>0.04</v>
      </c>
      <c r="H11" s="11">
        <v>3</v>
      </c>
      <c r="I11" s="10">
        <v>0.05</v>
      </c>
      <c r="J11" s="11"/>
      <c r="K11" s="10"/>
      <c r="L11" s="11"/>
      <c r="M11" s="10"/>
      <c r="N11" s="12">
        <v>8</v>
      </c>
      <c r="O11" s="13">
        <v>0.14</v>
      </c>
    </row>
    <row r="12">
      <c r="A12" s="10" t="s">
        <v>14</v>
      </c>
      <c r="B12" s="11"/>
      <c r="C12" s="10"/>
      <c r="D12" s="11">
        <v>3</v>
      </c>
      <c r="E12" s="10">
        <v>0.05</v>
      </c>
      <c r="F12" s="11">
        <v>20</v>
      </c>
      <c r="G12" s="10">
        <v>0.37</v>
      </c>
      <c r="H12" s="11">
        <v>10</v>
      </c>
      <c r="I12" s="10">
        <v>0.18</v>
      </c>
      <c r="J12" s="11">
        <v>3</v>
      </c>
      <c r="K12" s="10">
        <v>0.05</v>
      </c>
      <c r="L12" s="11"/>
      <c r="M12" s="10"/>
      <c r="N12" s="12">
        <v>36</v>
      </c>
      <c r="O12" s="13">
        <v>0.65</v>
      </c>
    </row>
    <row r="13">
      <c r="A13" s="10" t="s">
        <v>15</v>
      </c>
      <c r="B13" s="11"/>
      <c r="C13" s="10"/>
      <c r="D13" s="11">
        <v>8</v>
      </c>
      <c r="E13" s="10">
        <v>0.15</v>
      </c>
      <c r="F13" s="11">
        <v>8</v>
      </c>
      <c r="G13" s="10">
        <v>0.15</v>
      </c>
      <c r="H13" s="11">
        <v>4</v>
      </c>
      <c r="I13" s="10">
        <v>0.07</v>
      </c>
      <c r="J13" s="11"/>
      <c r="K13" s="10"/>
      <c r="L13" s="11"/>
      <c r="M13" s="10"/>
      <c r="N13" s="12">
        <v>20</v>
      </c>
      <c r="O13" s="13">
        <v>0.37</v>
      </c>
    </row>
    <row r="14">
      <c r="A14" s="10" t="s">
        <v>16</v>
      </c>
      <c r="B14" s="11"/>
      <c r="C14" s="10"/>
      <c r="D14" s="11">
        <v>1</v>
      </c>
      <c r="E14" s="10">
        <v>0.02</v>
      </c>
      <c r="F14" s="11">
        <v>1</v>
      </c>
      <c r="G14" s="10">
        <v>0.02</v>
      </c>
      <c r="H14" s="11"/>
      <c r="I14" s="10"/>
      <c r="J14" s="11"/>
      <c r="K14" s="10"/>
      <c r="L14" s="11"/>
      <c r="M14" s="10"/>
      <c r="N14" s="12">
        <v>2</v>
      </c>
      <c r="O14" s="13">
        <v>0.04</v>
      </c>
    </row>
    <row r="15">
      <c r="A15" s="10" t="s">
        <v>17</v>
      </c>
      <c r="B15" s="11"/>
      <c r="C15" s="10"/>
      <c r="D15" s="11">
        <v>1</v>
      </c>
      <c r="E15" s="10">
        <v>0.02</v>
      </c>
      <c r="F15" s="11"/>
      <c r="G15" s="10"/>
      <c r="H15" s="11"/>
      <c r="I15" s="10"/>
      <c r="J15" s="11"/>
      <c r="K15" s="10"/>
      <c r="L15" s="11"/>
      <c r="M15" s="10"/>
      <c r="N15" s="12">
        <v>1</v>
      </c>
      <c r="O15" s="13">
        <v>0.02</v>
      </c>
    </row>
    <row r="16">
      <c r="A16" s="7" t="s">
        <v>19</v>
      </c>
      <c r="B16" s="8">
        <v>6</v>
      </c>
      <c r="C16" s="7">
        <v>0.11</v>
      </c>
      <c r="D16" s="8">
        <v>167</v>
      </c>
      <c r="E16" s="7">
        <v>3.04</v>
      </c>
      <c r="F16" s="8">
        <v>172</v>
      </c>
      <c r="G16" s="7">
        <v>3.14</v>
      </c>
      <c r="H16" s="8">
        <v>67</v>
      </c>
      <c r="I16" s="7">
        <v>1.23</v>
      </c>
      <c r="J16" s="8">
        <v>23</v>
      </c>
      <c r="K16" s="7">
        <v>0.42</v>
      </c>
      <c r="L16" s="8">
        <v>2</v>
      </c>
      <c r="M16" s="7">
        <v>0.04</v>
      </c>
      <c r="N16" s="8">
        <v>437</v>
      </c>
      <c r="O16" s="9">
        <v>7.98</v>
      </c>
    </row>
    <row r="17">
      <c r="A17" s="10" t="s">
        <v>13</v>
      </c>
      <c r="B17" s="11">
        <v>3</v>
      </c>
      <c r="C17" s="10">
        <v>0.05</v>
      </c>
      <c r="D17" s="11">
        <v>32</v>
      </c>
      <c r="E17" s="10">
        <v>0.58</v>
      </c>
      <c r="F17" s="11">
        <v>28</v>
      </c>
      <c r="G17" s="10">
        <v>0.51</v>
      </c>
      <c r="H17" s="11">
        <v>24</v>
      </c>
      <c r="I17" s="10">
        <v>0.44</v>
      </c>
      <c r="J17" s="11">
        <v>7</v>
      </c>
      <c r="K17" s="10">
        <v>0.13</v>
      </c>
      <c r="L17" s="11">
        <v>1</v>
      </c>
      <c r="M17" s="10">
        <v>0.02</v>
      </c>
      <c r="N17" s="12">
        <v>95</v>
      </c>
      <c r="O17" s="13">
        <v>1.73</v>
      </c>
    </row>
    <row r="18">
      <c r="A18" s="10" t="s">
        <v>14</v>
      </c>
      <c r="B18" s="11">
        <v>2</v>
      </c>
      <c r="C18" s="10">
        <v>0.04</v>
      </c>
      <c r="D18" s="11">
        <v>62</v>
      </c>
      <c r="E18" s="10">
        <v>1.13</v>
      </c>
      <c r="F18" s="11">
        <v>25</v>
      </c>
      <c r="G18" s="10">
        <v>0.46</v>
      </c>
      <c r="H18" s="11">
        <v>23</v>
      </c>
      <c r="I18" s="10">
        <v>0.42</v>
      </c>
      <c r="J18" s="11">
        <v>4</v>
      </c>
      <c r="K18" s="10">
        <v>0.07</v>
      </c>
      <c r="L18" s="11"/>
      <c r="M18" s="10"/>
      <c r="N18" s="12">
        <v>116</v>
      </c>
      <c r="O18" s="13">
        <v>2.12</v>
      </c>
    </row>
    <row r="19">
      <c r="A19" s="10" t="s">
        <v>15</v>
      </c>
      <c r="B19" s="11">
        <v>1</v>
      </c>
      <c r="C19" s="10">
        <v>0.02</v>
      </c>
      <c r="D19" s="11">
        <v>56</v>
      </c>
      <c r="E19" s="10">
        <v>1.02</v>
      </c>
      <c r="F19" s="11">
        <v>103</v>
      </c>
      <c r="G19" s="10">
        <v>1.88</v>
      </c>
      <c r="H19" s="11">
        <v>18</v>
      </c>
      <c r="I19" s="10">
        <v>0.33</v>
      </c>
      <c r="J19" s="11">
        <v>12</v>
      </c>
      <c r="K19" s="10">
        <v>0.22</v>
      </c>
      <c r="L19" s="11">
        <v>1</v>
      </c>
      <c r="M19" s="10">
        <v>0.02</v>
      </c>
      <c r="N19" s="12">
        <v>191</v>
      </c>
      <c r="O19" s="13">
        <v>3.49</v>
      </c>
    </row>
    <row r="20">
      <c r="A20" s="10" t="s">
        <v>16</v>
      </c>
      <c r="B20" s="11"/>
      <c r="C20" s="10"/>
      <c r="D20" s="11">
        <v>12</v>
      </c>
      <c r="E20" s="10">
        <v>0.22</v>
      </c>
      <c r="F20" s="11">
        <v>16</v>
      </c>
      <c r="G20" s="10">
        <v>0.29</v>
      </c>
      <c r="H20" s="11">
        <v>2</v>
      </c>
      <c r="I20" s="10">
        <v>0.04</v>
      </c>
      <c r="J20" s="11"/>
      <c r="K20" s="10"/>
      <c r="L20" s="11"/>
      <c r="M20" s="10"/>
      <c r="N20" s="12">
        <v>30</v>
      </c>
      <c r="O20" s="13">
        <v>0.55</v>
      </c>
    </row>
    <row r="21">
      <c r="A21" s="10" t="s">
        <v>17</v>
      </c>
      <c r="B21" s="11"/>
      <c r="C21" s="10"/>
      <c r="D21" s="11">
        <v>4</v>
      </c>
      <c r="E21" s="10">
        <v>0.07</v>
      </c>
      <c r="F21" s="11"/>
      <c r="G21" s="10"/>
      <c r="H21" s="11"/>
      <c r="I21" s="10"/>
      <c r="J21" s="11"/>
      <c r="K21" s="10"/>
      <c r="L21" s="11"/>
      <c r="M21" s="10"/>
      <c r="N21" s="12">
        <v>4</v>
      </c>
      <c r="O21" s="13">
        <v>0.07</v>
      </c>
    </row>
    <row r="22">
      <c r="A22" s="10" t="s">
        <v>20</v>
      </c>
      <c r="B22" s="11"/>
      <c r="C22" s="10"/>
      <c r="D22" s="11">
        <v>1</v>
      </c>
      <c r="E22" s="10">
        <v>0.02</v>
      </c>
      <c r="F22" s="11"/>
      <c r="G22" s="10"/>
      <c r="H22" s="11"/>
      <c r="I22" s="10"/>
      <c r="J22" s="11"/>
      <c r="K22" s="10"/>
      <c r="L22" s="11"/>
      <c r="M22" s="10"/>
      <c r="N22" s="12">
        <v>1</v>
      </c>
      <c r="O22" s="13">
        <v>0.02</v>
      </c>
    </row>
    <row r="23">
      <c r="A23" s="7" t="s">
        <v>21</v>
      </c>
      <c r="B23" s="12"/>
      <c r="C23" s="14"/>
      <c r="D23" s="8">
        <v>5</v>
      </c>
      <c r="E23" s="7">
        <v>0.1</v>
      </c>
      <c r="F23" s="8">
        <v>4</v>
      </c>
      <c r="G23" s="7">
        <v>0.07</v>
      </c>
      <c r="H23" s="8">
        <v>1</v>
      </c>
      <c r="I23" s="7">
        <v>0.02</v>
      </c>
      <c r="J23" s="8">
        <v>10</v>
      </c>
      <c r="K23" s="7">
        <v>0.18</v>
      </c>
      <c r="L23" s="12"/>
      <c r="M23" s="14"/>
      <c r="N23" s="8">
        <v>20</v>
      </c>
      <c r="O23" s="9">
        <v>0.37</v>
      </c>
    </row>
    <row r="24">
      <c r="A24" s="10" t="s">
        <v>13</v>
      </c>
      <c r="B24" s="11"/>
      <c r="C24" s="10"/>
      <c r="D24" s="11"/>
      <c r="E24" s="10"/>
      <c r="F24" s="11"/>
      <c r="G24" s="10"/>
      <c r="H24" s="11">
        <v>1</v>
      </c>
      <c r="I24" s="10">
        <v>0.02</v>
      </c>
      <c r="J24" s="11">
        <v>1</v>
      </c>
      <c r="K24" s="10">
        <v>0.02</v>
      </c>
      <c r="L24" s="11"/>
      <c r="M24" s="10"/>
      <c r="N24" s="12">
        <v>2</v>
      </c>
      <c r="O24" s="13">
        <v>0.04</v>
      </c>
    </row>
    <row r="25">
      <c r="A25" s="10" t="s">
        <v>14</v>
      </c>
      <c r="B25" s="11"/>
      <c r="C25" s="10"/>
      <c r="D25" s="11">
        <v>2</v>
      </c>
      <c r="E25" s="10">
        <v>0.04</v>
      </c>
      <c r="F25" s="11"/>
      <c r="G25" s="10"/>
      <c r="H25" s="11"/>
      <c r="I25" s="10"/>
      <c r="J25" s="11"/>
      <c r="K25" s="10"/>
      <c r="L25" s="11"/>
      <c r="M25" s="10"/>
      <c r="N25" s="12">
        <v>2</v>
      </c>
      <c r="O25" s="13">
        <v>0.04</v>
      </c>
    </row>
    <row r="26">
      <c r="A26" s="10" t="s">
        <v>15</v>
      </c>
      <c r="B26" s="11"/>
      <c r="C26" s="10"/>
      <c r="D26" s="11">
        <v>1</v>
      </c>
      <c r="E26" s="10">
        <v>0.02</v>
      </c>
      <c r="F26" s="11">
        <v>4</v>
      </c>
      <c r="G26" s="10">
        <v>0.07</v>
      </c>
      <c r="H26" s="11"/>
      <c r="I26" s="10"/>
      <c r="J26" s="11">
        <v>9</v>
      </c>
      <c r="K26" s="10">
        <v>0.16</v>
      </c>
      <c r="L26" s="11"/>
      <c r="M26" s="10"/>
      <c r="N26" s="12">
        <v>14</v>
      </c>
      <c r="O26" s="13">
        <v>0.25</v>
      </c>
    </row>
    <row r="27">
      <c r="A27" s="10" t="s">
        <v>16</v>
      </c>
      <c r="B27" s="11"/>
      <c r="C27" s="10"/>
      <c r="D27" s="11">
        <v>2</v>
      </c>
      <c r="E27" s="10">
        <v>0.04</v>
      </c>
      <c r="F27" s="11"/>
      <c r="G27" s="10"/>
      <c r="H27" s="11"/>
      <c r="I27" s="10"/>
      <c r="J27" s="11"/>
      <c r="K27" s="10"/>
      <c r="L27" s="11"/>
      <c r="M27" s="10"/>
      <c r="N27" s="12">
        <v>2</v>
      </c>
      <c r="O27" s="13">
        <v>0.04</v>
      </c>
    </row>
    <row r="28">
      <c r="A28" s="7" t="s">
        <v>22</v>
      </c>
      <c r="B28" s="8">
        <v>14</v>
      </c>
      <c r="C28" s="7">
        <v>0.26</v>
      </c>
      <c r="D28" s="8">
        <v>424</v>
      </c>
      <c r="E28" s="7">
        <v>7.75</v>
      </c>
      <c r="F28" s="8">
        <v>974</v>
      </c>
      <c r="G28" s="7">
        <v>17.79</v>
      </c>
      <c r="H28" s="8">
        <v>300</v>
      </c>
      <c r="I28" s="7">
        <v>5.48</v>
      </c>
      <c r="J28" s="8">
        <v>70</v>
      </c>
      <c r="K28" s="7">
        <v>1.28</v>
      </c>
      <c r="L28" s="8">
        <v>6</v>
      </c>
      <c r="M28" s="7">
        <v>0.12</v>
      </c>
      <c r="N28" s="8">
        <v>1788</v>
      </c>
      <c r="O28" s="9">
        <v>32.68</v>
      </c>
    </row>
    <row r="29">
      <c r="A29" s="10" t="s">
        <v>13</v>
      </c>
      <c r="B29" s="11">
        <v>2</v>
      </c>
      <c r="C29" s="10">
        <v>0.04</v>
      </c>
      <c r="D29" s="11">
        <v>123</v>
      </c>
      <c r="E29" s="10">
        <v>2.25</v>
      </c>
      <c r="F29" s="11">
        <v>323</v>
      </c>
      <c r="G29" s="10">
        <v>5.9</v>
      </c>
      <c r="H29" s="11">
        <v>58</v>
      </c>
      <c r="I29" s="10">
        <v>1.06</v>
      </c>
      <c r="J29" s="11">
        <v>25</v>
      </c>
      <c r="K29" s="10">
        <v>0.46</v>
      </c>
      <c r="L29" s="11">
        <v>2</v>
      </c>
      <c r="M29" s="10">
        <v>0.04</v>
      </c>
      <c r="N29" s="12">
        <v>533</v>
      </c>
      <c r="O29" s="13">
        <v>9.75</v>
      </c>
    </row>
    <row r="30">
      <c r="A30" s="10" t="s">
        <v>14</v>
      </c>
      <c r="B30" s="11">
        <v>7</v>
      </c>
      <c r="C30" s="10">
        <v>0.13</v>
      </c>
      <c r="D30" s="11">
        <v>140</v>
      </c>
      <c r="E30" s="10">
        <v>2.56</v>
      </c>
      <c r="F30" s="11">
        <v>351</v>
      </c>
      <c r="G30" s="10">
        <v>6.41</v>
      </c>
      <c r="H30" s="11">
        <v>134</v>
      </c>
      <c r="I30" s="10">
        <v>2.45</v>
      </c>
      <c r="J30" s="11">
        <v>16</v>
      </c>
      <c r="K30" s="10">
        <v>0.29</v>
      </c>
      <c r="L30" s="11">
        <v>2</v>
      </c>
      <c r="M30" s="10">
        <v>0.04</v>
      </c>
      <c r="N30" s="12">
        <v>650</v>
      </c>
      <c r="O30" s="13">
        <v>11.88</v>
      </c>
    </row>
    <row r="31">
      <c r="A31" s="10" t="s">
        <v>15</v>
      </c>
      <c r="B31" s="11">
        <v>3</v>
      </c>
      <c r="C31" s="10">
        <v>0.05</v>
      </c>
      <c r="D31" s="11">
        <v>127</v>
      </c>
      <c r="E31" s="10">
        <v>2.32</v>
      </c>
      <c r="F31" s="11">
        <v>266</v>
      </c>
      <c r="G31" s="10">
        <v>4.86</v>
      </c>
      <c r="H31" s="11">
        <v>103</v>
      </c>
      <c r="I31" s="10">
        <v>1.88</v>
      </c>
      <c r="J31" s="11">
        <v>26</v>
      </c>
      <c r="K31" s="10">
        <v>0.47</v>
      </c>
      <c r="L31" s="11">
        <v>1</v>
      </c>
      <c r="M31" s="10">
        <v>0.02</v>
      </c>
      <c r="N31" s="12">
        <v>526</v>
      </c>
      <c r="O31" s="13">
        <v>9.6</v>
      </c>
    </row>
    <row r="32">
      <c r="A32" s="10" t="s">
        <v>16</v>
      </c>
      <c r="B32" s="11">
        <v>2</v>
      </c>
      <c r="C32" s="10">
        <v>0.04</v>
      </c>
      <c r="D32" s="11">
        <v>31</v>
      </c>
      <c r="E32" s="10">
        <v>0.57</v>
      </c>
      <c r="F32" s="11">
        <v>32</v>
      </c>
      <c r="G32" s="10">
        <v>0.58</v>
      </c>
      <c r="H32" s="11">
        <v>4</v>
      </c>
      <c r="I32" s="10">
        <v>0.07</v>
      </c>
      <c r="J32" s="11">
        <v>2</v>
      </c>
      <c r="K32" s="10">
        <v>0.04</v>
      </c>
      <c r="L32" s="11">
        <v>1</v>
      </c>
      <c r="M32" s="10">
        <v>0.02</v>
      </c>
      <c r="N32" s="12">
        <v>72</v>
      </c>
      <c r="O32" s="13">
        <v>1.32</v>
      </c>
    </row>
    <row r="33">
      <c r="A33" s="10" t="s">
        <v>17</v>
      </c>
      <c r="B33" s="11"/>
      <c r="C33" s="10"/>
      <c r="D33" s="11">
        <v>3</v>
      </c>
      <c r="E33" s="10">
        <v>0.05</v>
      </c>
      <c r="F33" s="11">
        <v>2</v>
      </c>
      <c r="G33" s="10">
        <v>0.04</v>
      </c>
      <c r="H33" s="11">
        <v>1</v>
      </c>
      <c r="I33" s="10">
        <v>0.02</v>
      </c>
      <c r="J33" s="11">
        <v>1</v>
      </c>
      <c r="K33" s="10">
        <v>0.02</v>
      </c>
      <c r="L33" s="11"/>
      <c r="M33" s="10"/>
      <c r="N33" s="12">
        <v>7</v>
      </c>
      <c r="O33" s="13">
        <v>0.13</v>
      </c>
    </row>
    <row r="34">
      <c r="A34" s="7" t="s">
        <v>23</v>
      </c>
      <c r="B34" s="12"/>
      <c r="C34" s="14"/>
      <c r="D34" s="8">
        <v>5</v>
      </c>
      <c r="E34" s="7">
        <v>0.1</v>
      </c>
      <c r="F34" s="8">
        <v>11</v>
      </c>
      <c r="G34" s="7">
        <v>0.2</v>
      </c>
      <c r="H34" s="8">
        <v>6</v>
      </c>
      <c r="I34" s="7">
        <v>0.11</v>
      </c>
      <c r="J34" s="12"/>
      <c r="K34" s="14"/>
      <c r="L34" s="12"/>
      <c r="M34" s="14"/>
      <c r="N34" s="8">
        <v>22</v>
      </c>
      <c r="O34" s="9">
        <v>0.41</v>
      </c>
    </row>
    <row r="35">
      <c r="A35" s="10" t="s">
        <v>13</v>
      </c>
      <c r="B35" s="11"/>
      <c r="C35" s="10"/>
      <c r="D35" s="11">
        <v>2</v>
      </c>
      <c r="E35" s="10">
        <v>0.04</v>
      </c>
      <c r="F35" s="11">
        <v>3</v>
      </c>
      <c r="G35" s="10">
        <v>0.05</v>
      </c>
      <c r="H35" s="11">
        <v>1</v>
      </c>
      <c r="I35" s="10">
        <v>0.02</v>
      </c>
      <c r="J35" s="11"/>
      <c r="K35" s="10"/>
      <c r="L35" s="11"/>
      <c r="M35" s="10"/>
      <c r="N35" s="12">
        <v>6</v>
      </c>
      <c r="O35" s="13">
        <v>0.11</v>
      </c>
    </row>
    <row r="36">
      <c r="A36" s="10" t="s">
        <v>14</v>
      </c>
      <c r="B36" s="11"/>
      <c r="C36" s="10"/>
      <c r="D36" s="11">
        <v>2</v>
      </c>
      <c r="E36" s="10">
        <v>0.04</v>
      </c>
      <c r="F36" s="11">
        <v>2</v>
      </c>
      <c r="G36" s="10">
        <v>0.04</v>
      </c>
      <c r="H36" s="11">
        <v>3</v>
      </c>
      <c r="I36" s="10">
        <v>0.05</v>
      </c>
      <c r="J36" s="11"/>
      <c r="K36" s="10"/>
      <c r="L36" s="11"/>
      <c r="M36" s="10"/>
      <c r="N36" s="12">
        <v>7</v>
      </c>
      <c r="O36" s="13">
        <v>0.13</v>
      </c>
    </row>
    <row r="37">
      <c r="A37" s="10" t="s">
        <v>15</v>
      </c>
      <c r="B37" s="11"/>
      <c r="C37" s="10"/>
      <c r="D37" s="11">
        <v>1</v>
      </c>
      <c r="E37" s="10">
        <v>0.02</v>
      </c>
      <c r="F37" s="11">
        <v>4</v>
      </c>
      <c r="G37" s="10">
        <v>0.07</v>
      </c>
      <c r="H37" s="11">
        <v>2</v>
      </c>
      <c r="I37" s="10">
        <v>0.04</v>
      </c>
      <c r="J37" s="11"/>
      <c r="K37" s="10"/>
      <c r="L37" s="11"/>
      <c r="M37" s="10"/>
      <c r="N37" s="12">
        <v>7</v>
      </c>
      <c r="O37" s="13">
        <v>0.13</v>
      </c>
    </row>
    <row r="38">
      <c r="A38" s="10" t="s">
        <v>16</v>
      </c>
      <c r="B38" s="11"/>
      <c r="C38" s="10"/>
      <c r="D38" s="11"/>
      <c r="E38" s="10"/>
      <c r="F38" s="11">
        <v>1</v>
      </c>
      <c r="G38" s="10">
        <v>0.02</v>
      </c>
      <c r="H38" s="11"/>
      <c r="I38" s="10"/>
      <c r="J38" s="11"/>
      <c r="K38" s="10"/>
      <c r="L38" s="11"/>
      <c r="M38" s="10"/>
      <c r="N38" s="12">
        <v>1</v>
      </c>
      <c r="O38" s="13">
        <v>0.02</v>
      </c>
    </row>
    <row r="39">
      <c r="A39" s="10" t="s">
        <v>20</v>
      </c>
      <c r="B39" s="11"/>
      <c r="C39" s="10"/>
      <c r="D39" s="11"/>
      <c r="E39" s="10"/>
      <c r="F39" s="11">
        <v>1</v>
      </c>
      <c r="G39" s="10">
        <v>0.02</v>
      </c>
      <c r="H39" s="11"/>
      <c r="I39" s="10"/>
      <c r="J39" s="11"/>
      <c r="K39" s="10"/>
      <c r="L39" s="11"/>
      <c r="M39" s="10"/>
      <c r="N39" s="12">
        <v>1</v>
      </c>
      <c r="O39" s="13">
        <v>0.02</v>
      </c>
    </row>
    <row r="40">
      <c r="A40" s="7" t="s">
        <v>24</v>
      </c>
      <c r="B40" s="12"/>
      <c r="C40" s="14"/>
      <c r="D40" s="12"/>
      <c r="E40" s="14"/>
      <c r="F40" s="8">
        <v>1</v>
      </c>
      <c r="G40" s="7">
        <v>0.02</v>
      </c>
      <c r="H40" s="8">
        <v>1</v>
      </c>
      <c r="I40" s="7">
        <v>0.02</v>
      </c>
      <c r="J40" s="8">
        <v>6</v>
      </c>
      <c r="K40" s="7">
        <v>0.1</v>
      </c>
      <c r="L40" s="12"/>
      <c r="M40" s="14"/>
      <c r="N40" s="8">
        <v>8</v>
      </c>
      <c r="O40" s="9">
        <v>0.14</v>
      </c>
    </row>
    <row r="41">
      <c r="A41" s="10" t="s">
        <v>14</v>
      </c>
      <c r="B41" s="11"/>
      <c r="C41" s="10"/>
      <c r="D41" s="11"/>
      <c r="E41" s="10"/>
      <c r="F41" s="11">
        <v>1</v>
      </c>
      <c r="G41" s="10">
        <v>0.02</v>
      </c>
      <c r="H41" s="11">
        <v>1</v>
      </c>
      <c r="I41" s="10">
        <v>0.02</v>
      </c>
      <c r="J41" s="11">
        <v>3</v>
      </c>
      <c r="K41" s="10">
        <v>0.05</v>
      </c>
      <c r="L41" s="11"/>
      <c r="M41" s="10"/>
      <c r="N41" s="12">
        <v>5</v>
      </c>
      <c r="O41" s="13">
        <v>0.09</v>
      </c>
    </row>
    <row r="42">
      <c r="A42" s="10" t="s">
        <v>15</v>
      </c>
      <c r="B42" s="11"/>
      <c r="C42" s="10"/>
      <c r="D42" s="11"/>
      <c r="E42" s="10"/>
      <c r="F42" s="11"/>
      <c r="G42" s="10"/>
      <c r="H42" s="11"/>
      <c r="I42" s="10"/>
      <c r="J42" s="11">
        <v>3</v>
      </c>
      <c r="K42" s="10">
        <v>0.05</v>
      </c>
      <c r="L42" s="11"/>
      <c r="M42" s="10"/>
      <c r="N42" s="12">
        <v>3</v>
      </c>
      <c r="O42" s="13">
        <v>0.05</v>
      </c>
    </row>
    <row r="43">
      <c r="A43" s="7" t="s">
        <v>25</v>
      </c>
      <c r="B43" s="12"/>
      <c r="C43" s="14"/>
      <c r="D43" s="8">
        <v>34</v>
      </c>
      <c r="E43" s="7">
        <v>0.63</v>
      </c>
      <c r="F43" s="8">
        <v>71</v>
      </c>
      <c r="G43" s="7">
        <v>1.29</v>
      </c>
      <c r="H43" s="8">
        <v>77</v>
      </c>
      <c r="I43" s="7">
        <v>1.4</v>
      </c>
      <c r="J43" s="8">
        <v>18</v>
      </c>
      <c r="K43" s="7">
        <v>0.33</v>
      </c>
      <c r="L43" s="12"/>
      <c r="M43" s="14"/>
      <c r="N43" s="8">
        <v>200</v>
      </c>
      <c r="O43" s="9">
        <v>3.65</v>
      </c>
    </row>
    <row r="44">
      <c r="A44" s="10" t="s">
        <v>13</v>
      </c>
      <c r="B44" s="11"/>
      <c r="C44" s="10"/>
      <c r="D44" s="11">
        <v>5</v>
      </c>
      <c r="E44" s="10">
        <v>0.09</v>
      </c>
      <c r="F44" s="11">
        <v>15</v>
      </c>
      <c r="G44" s="10">
        <v>0.27</v>
      </c>
      <c r="H44" s="11">
        <v>13</v>
      </c>
      <c r="I44" s="10">
        <v>0.24</v>
      </c>
      <c r="J44" s="11">
        <v>4</v>
      </c>
      <c r="K44" s="10">
        <v>0.07</v>
      </c>
      <c r="L44" s="11"/>
      <c r="M44" s="10"/>
      <c r="N44" s="12">
        <v>37</v>
      </c>
      <c r="O44" s="13">
        <v>0.67</v>
      </c>
    </row>
    <row r="45">
      <c r="A45" s="10" t="s">
        <v>14</v>
      </c>
      <c r="B45" s="11"/>
      <c r="C45" s="10"/>
      <c r="D45" s="11">
        <v>7</v>
      </c>
      <c r="E45" s="10">
        <v>0.13</v>
      </c>
      <c r="F45" s="11">
        <v>26</v>
      </c>
      <c r="G45" s="10">
        <v>0.47</v>
      </c>
      <c r="H45" s="11">
        <v>32</v>
      </c>
      <c r="I45" s="10">
        <v>0.58</v>
      </c>
      <c r="J45" s="11">
        <v>6</v>
      </c>
      <c r="K45" s="10">
        <v>0.11</v>
      </c>
      <c r="L45" s="11"/>
      <c r="M45" s="10"/>
      <c r="N45" s="12">
        <v>71</v>
      </c>
      <c r="O45" s="13">
        <v>1.29</v>
      </c>
    </row>
    <row r="46">
      <c r="A46" s="10" t="s">
        <v>15</v>
      </c>
      <c r="B46" s="11"/>
      <c r="C46" s="10"/>
      <c r="D46" s="11">
        <v>14</v>
      </c>
      <c r="E46" s="10">
        <v>0.26</v>
      </c>
      <c r="F46" s="11">
        <v>25</v>
      </c>
      <c r="G46" s="10">
        <v>0.46</v>
      </c>
      <c r="H46" s="11">
        <v>27</v>
      </c>
      <c r="I46" s="10">
        <v>0.49</v>
      </c>
      <c r="J46" s="11">
        <v>8</v>
      </c>
      <c r="K46" s="10">
        <v>0.15</v>
      </c>
      <c r="L46" s="11"/>
      <c r="M46" s="10"/>
      <c r="N46" s="12">
        <v>74</v>
      </c>
      <c r="O46" s="13">
        <v>1.36</v>
      </c>
    </row>
    <row r="47">
      <c r="A47" s="10" t="s">
        <v>16</v>
      </c>
      <c r="B47" s="11"/>
      <c r="C47" s="10"/>
      <c r="D47" s="11">
        <v>8</v>
      </c>
      <c r="E47" s="10">
        <v>0.15</v>
      </c>
      <c r="F47" s="11">
        <v>4</v>
      </c>
      <c r="G47" s="10">
        <v>0.07</v>
      </c>
      <c r="H47" s="11">
        <v>3</v>
      </c>
      <c r="I47" s="10">
        <v>0.05</v>
      </c>
      <c r="J47" s="11"/>
      <c r="K47" s="10"/>
      <c r="L47" s="11"/>
      <c r="M47" s="10"/>
      <c r="N47" s="12">
        <v>15</v>
      </c>
      <c r="O47" s="13">
        <v>0.27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>
        <v>2</v>
      </c>
      <c r="I48" s="10">
        <v>0.04</v>
      </c>
      <c r="J48" s="11"/>
      <c r="K48" s="10"/>
      <c r="L48" s="11"/>
      <c r="M48" s="10"/>
      <c r="N48" s="12">
        <v>3</v>
      </c>
      <c r="O48" s="13">
        <v>0.06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12"/>
      <c r="G49" s="14"/>
      <c r="H49" s="8">
        <v>4</v>
      </c>
      <c r="I49" s="7">
        <v>0.08</v>
      </c>
      <c r="J49" s="12"/>
      <c r="K49" s="14"/>
      <c r="L49" s="12"/>
      <c r="M49" s="14"/>
      <c r="N49" s="8">
        <v>5</v>
      </c>
      <c r="O49" s="9">
        <v>0.1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2</v>
      </c>
      <c r="I50" s="10">
        <v>0.04</v>
      </c>
      <c r="J50" s="11"/>
      <c r="K50" s="10"/>
      <c r="L50" s="11"/>
      <c r="M50" s="10"/>
      <c r="N50" s="12">
        <v>2</v>
      </c>
      <c r="O50" s="13">
        <v>0.04</v>
      </c>
    </row>
    <row r="51">
      <c r="A51" s="10" t="s">
        <v>14</v>
      </c>
      <c r="B51" s="11"/>
      <c r="C51" s="10"/>
      <c r="D51" s="11"/>
      <c r="E51" s="10"/>
      <c r="F51" s="11"/>
      <c r="G51" s="10"/>
      <c r="H51" s="11">
        <v>1</v>
      </c>
      <c r="I51" s="10">
        <v>0.02</v>
      </c>
      <c r="J51" s="11"/>
      <c r="K51" s="10"/>
      <c r="L51" s="11"/>
      <c r="M51" s="10"/>
      <c r="N51" s="12">
        <v>1</v>
      </c>
      <c r="O51" s="13">
        <v>0.02</v>
      </c>
    </row>
    <row r="52">
      <c r="A52" s="10" t="s">
        <v>16</v>
      </c>
      <c r="B52" s="11"/>
      <c r="C52" s="10"/>
      <c r="D52" s="11">
        <v>1</v>
      </c>
      <c r="E52" s="10">
        <v>0.02</v>
      </c>
      <c r="F52" s="11"/>
      <c r="G52" s="10"/>
      <c r="H52" s="11">
        <v>1</v>
      </c>
      <c r="I52" s="10">
        <v>0.02</v>
      </c>
      <c r="J52" s="11"/>
      <c r="K52" s="10"/>
      <c r="L52" s="11"/>
      <c r="M52" s="10"/>
      <c r="N52" s="12">
        <v>2</v>
      </c>
      <c r="O52" s="13">
        <v>0.04</v>
      </c>
    </row>
    <row r="53">
      <c r="A53" s="7" t="s">
        <v>27</v>
      </c>
      <c r="B53" s="12"/>
      <c r="C53" s="14"/>
      <c r="D53" s="8">
        <v>3</v>
      </c>
      <c r="E53" s="7">
        <v>0.06</v>
      </c>
      <c r="F53" s="8">
        <v>9</v>
      </c>
      <c r="G53" s="7">
        <v>0.17</v>
      </c>
      <c r="H53" s="8">
        <v>13</v>
      </c>
      <c r="I53" s="7">
        <v>0.23</v>
      </c>
      <c r="J53" s="8">
        <v>3</v>
      </c>
      <c r="K53" s="7">
        <v>0.05</v>
      </c>
      <c r="L53" s="12"/>
      <c r="M53" s="14"/>
      <c r="N53" s="8">
        <v>28</v>
      </c>
      <c r="O53" s="9">
        <v>0.51</v>
      </c>
    </row>
    <row r="54">
      <c r="A54" s="10" t="s">
        <v>13</v>
      </c>
      <c r="B54" s="11"/>
      <c r="C54" s="10"/>
      <c r="D54" s="11"/>
      <c r="E54" s="10"/>
      <c r="F54" s="11">
        <v>2</v>
      </c>
      <c r="G54" s="10">
        <v>0.04</v>
      </c>
      <c r="H54" s="11">
        <v>3</v>
      </c>
      <c r="I54" s="10">
        <v>0.05</v>
      </c>
      <c r="J54" s="11"/>
      <c r="K54" s="10"/>
      <c r="L54" s="11"/>
      <c r="M54" s="10"/>
      <c r="N54" s="12">
        <v>5</v>
      </c>
      <c r="O54" s="13">
        <v>0.09</v>
      </c>
    </row>
    <row r="55">
      <c r="A55" s="10" t="s">
        <v>14</v>
      </c>
      <c r="B55" s="11"/>
      <c r="C55" s="10"/>
      <c r="D55" s="11"/>
      <c r="E55" s="10"/>
      <c r="F55" s="11">
        <v>5</v>
      </c>
      <c r="G55" s="10">
        <v>0.09</v>
      </c>
      <c r="H55" s="11">
        <v>3</v>
      </c>
      <c r="I55" s="10">
        <v>0.05</v>
      </c>
      <c r="J55" s="11">
        <v>3</v>
      </c>
      <c r="K55" s="10">
        <v>0.05</v>
      </c>
      <c r="L55" s="11"/>
      <c r="M55" s="10"/>
      <c r="N55" s="12">
        <v>11</v>
      </c>
      <c r="O55" s="13">
        <v>0.19</v>
      </c>
    </row>
    <row r="56">
      <c r="A56" s="10" t="s">
        <v>15</v>
      </c>
      <c r="B56" s="11"/>
      <c r="C56" s="10"/>
      <c r="D56" s="11">
        <v>1</v>
      </c>
      <c r="E56" s="10">
        <v>0.02</v>
      </c>
      <c r="F56" s="11">
        <v>2</v>
      </c>
      <c r="G56" s="10">
        <v>0.04</v>
      </c>
      <c r="H56" s="11">
        <v>1</v>
      </c>
      <c r="I56" s="10">
        <v>0.02</v>
      </c>
      <c r="J56" s="11"/>
      <c r="K56" s="10"/>
      <c r="L56" s="11"/>
      <c r="M56" s="10"/>
      <c r="N56" s="12">
        <v>4</v>
      </c>
      <c r="O56" s="13">
        <v>0.08</v>
      </c>
    </row>
    <row r="57">
      <c r="A57" s="10" t="s">
        <v>16</v>
      </c>
      <c r="B57" s="11"/>
      <c r="C57" s="10"/>
      <c r="D57" s="11">
        <v>2</v>
      </c>
      <c r="E57" s="10">
        <v>0.04</v>
      </c>
      <c r="F57" s="11"/>
      <c r="G57" s="10"/>
      <c r="H57" s="11">
        <v>5</v>
      </c>
      <c r="I57" s="10">
        <v>0.09</v>
      </c>
      <c r="J57" s="11"/>
      <c r="K57" s="10"/>
      <c r="L57" s="11"/>
      <c r="M57" s="10"/>
      <c r="N57" s="12">
        <v>7</v>
      </c>
      <c r="O57" s="13">
        <v>0.13</v>
      </c>
    </row>
    <row r="58">
      <c r="A58" s="10" t="s">
        <v>17</v>
      </c>
      <c r="B58" s="11"/>
      <c r="C58" s="10"/>
      <c r="D58" s="11"/>
      <c r="E58" s="10"/>
      <c r="F58" s="11"/>
      <c r="G58" s="10"/>
      <c r="H58" s="11">
        <v>1</v>
      </c>
      <c r="I58" s="10">
        <v>0.02</v>
      </c>
      <c r="J58" s="11"/>
      <c r="K58" s="10"/>
      <c r="L58" s="11"/>
      <c r="M58" s="10"/>
      <c r="N58" s="12">
        <v>1</v>
      </c>
      <c r="O58" s="13">
        <v>0.02</v>
      </c>
    </row>
    <row r="59">
      <c r="A59" s="7" t="s">
        <v>28</v>
      </c>
      <c r="B59" s="12"/>
      <c r="C59" s="14"/>
      <c r="D59" s="12"/>
      <c r="E59" s="14"/>
      <c r="F59" s="12"/>
      <c r="G59" s="14"/>
      <c r="H59" s="8">
        <v>2</v>
      </c>
      <c r="I59" s="7">
        <v>0.04</v>
      </c>
      <c r="J59" s="12"/>
      <c r="K59" s="14"/>
      <c r="L59" s="12"/>
      <c r="M59" s="14"/>
      <c r="N59" s="8">
        <v>2</v>
      </c>
      <c r="O59" s="9">
        <v>0.04</v>
      </c>
    </row>
    <row r="60">
      <c r="A60" s="10" t="s">
        <v>14</v>
      </c>
      <c r="B60" s="11"/>
      <c r="C60" s="10"/>
      <c r="D60" s="11"/>
      <c r="E60" s="10"/>
      <c r="F60" s="11"/>
      <c r="G60" s="10"/>
      <c r="H60" s="11">
        <v>1</v>
      </c>
      <c r="I60" s="10">
        <v>0.02</v>
      </c>
      <c r="J60" s="11"/>
      <c r="K60" s="10"/>
      <c r="L60" s="11"/>
      <c r="M60" s="10"/>
      <c r="N60" s="12">
        <v>1</v>
      </c>
      <c r="O60" s="13">
        <v>0.02</v>
      </c>
    </row>
    <row r="61">
      <c r="A61" s="10" t="s">
        <v>15</v>
      </c>
      <c r="B61" s="11"/>
      <c r="C61" s="10"/>
      <c r="D61" s="11"/>
      <c r="E61" s="10"/>
      <c r="F61" s="11"/>
      <c r="G61" s="10"/>
      <c r="H61" s="11">
        <v>1</v>
      </c>
      <c r="I61" s="10">
        <v>0.02</v>
      </c>
      <c r="J61" s="11"/>
      <c r="K61" s="10"/>
      <c r="L61" s="11"/>
      <c r="M61" s="10"/>
      <c r="N61" s="12">
        <v>1</v>
      </c>
      <c r="O61" s="13">
        <v>0.02</v>
      </c>
    </row>
    <row r="62">
      <c r="A62" s="7" t="s">
        <v>29</v>
      </c>
      <c r="B62" s="12"/>
      <c r="C62" s="14"/>
      <c r="D62" s="8">
        <v>3</v>
      </c>
      <c r="E62" s="7">
        <v>0.06</v>
      </c>
      <c r="F62" s="8">
        <v>20</v>
      </c>
      <c r="G62" s="7">
        <v>0.36</v>
      </c>
      <c r="H62" s="8">
        <v>5</v>
      </c>
      <c r="I62" s="7">
        <v>0.1</v>
      </c>
      <c r="J62" s="8">
        <v>9</v>
      </c>
      <c r="K62" s="7">
        <v>0.16</v>
      </c>
      <c r="L62" s="12"/>
      <c r="M62" s="14"/>
      <c r="N62" s="8">
        <v>37</v>
      </c>
      <c r="O62" s="9">
        <v>0.68</v>
      </c>
    </row>
    <row r="63">
      <c r="A63" s="10" t="s">
        <v>13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14</v>
      </c>
      <c r="B64" s="11"/>
      <c r="C64" s="10"/>
      <c r="D64" s="11"/>
      <c r="E64" s="10"/>
      <c r="F64" s="11">
        <v>5</v>
      </c>
      <c r="G64" s="10">
        <v>0.09</v>
      </c>
      <c r="H64" s="11">
        <v>1</v>
      </c>
      <c r="I64" s="10">
        <v>0.02</v>
      </c>
      <c r="J64" s="11">
        <v>3</v>
      </c>
      <c r="K64" s="10">
        <v>0.05</v>
      </c>
      <c r="L64" s="11"/>
      <c r="M64" s="10"/>
      <c r="N64" s="12">
        <v>9</v>
      </c>
      <c r="O64" s="13">
        <v>0.16</v>
      </c>
    </row>
    <row r="65">
      <c r="A65" s="10" t="s">
        <v>15</v>
      </c>
      <c r="B65" s="11"/>
      <c r="C65" s="10"/>
      <c r="D65" s="11">
        <v>1</v>
      </c>
      <c r="E65" s="10">
        <v>0.02</v>
      </c>
      <c r="F65" s="11">
        <v>11</v>
      </c>
      <c r="G65" s="10">
        <v>0.2</v>
      </c>
      <c r="H65" s="11">
        <v>2</v>
      </c>
      <c r="I65" s="10">
        <v>0.04</v>
      </c>
      <c r="J65" s="11">
        <v>2</v>
      </c>
      <c r="K65" s="10">
        <v>0.04</v>
      </c>
      <c r="L65" s="11"/>
      <c r="M65" s="10"/>
      <c r="N65" s="12">
        <v>16</v>
      </c>
      <c r="O65" s="13">
        <v>0.3</v>
      </c>
    </row>
    <row r="66">
      <c r="A66" s="10" t="s">
        <v>16</v>
      </c>
      <c r="B66" s="11"/>
      <c r="C66" s="10"/>
      <c r="D66" s="11">
        <v>2</v>
      </c>
      <c r="E66" s="10">
        <v>0.04</v>
      </c>
      <c r="F66" s="11">
        <v>3</v>
      </c>
      <c r="G66" s="10">
        <v>0.05</v>
      </c>
      <c r="H66" s="11">
        <v>1</v>
      </c>
      <c r="I66" s="10">
        <v>0.02</v>
      </c>
      <c r="J66" s="11">
        <v>4</v>
      </c>
      <c r="K66" s="10">
        <v>0.07</v>
      </c>
      <c r="L66" s="11"/>
      <c r="M66" s="10"/>
      <c r="N66" s="12">
        <v>10</v>
      </c>
      <c r="O66" s="13">
        <v>0.18</v>
      </c>
    </row>
    <row r="67">
      <c r="A67" s="10" t="s">
        <v>17</v>
      </c>
      <c r="B67" s="11"/>
      <c r="C67" s="10"/>
      <c r="D67" s="11"/>
      <c r="E67" s="10"/>
      <c r="F67" s="11">
        <v>1</v>
      </c>
      <c r="G67" s="10">
        <v>0.02</v>
      </c>
      <c r="H67" s="11"/>
      <c r="I67" s="10"/>
      <c r="J67" s="11"/>
      <c r="K67" s="10"/>
      <c r="L67" s="11"/>
      <c r="M67" s="10"/>
      <c r="N67" s="12">
        <v>1</v>
      </c>
      <c r="O67" s="13">
        <v>0.02</v>
      </c>
    </row>
    <row r="68">
      <c r="A68" s="7" t="s">
        <v>30</v>
      </c>
      <c r="B68" s="12"/>
      <c r="C68" s="14"/>
      <c r="D68" s="12"/>
      <c r="E68" s="14"/>
      <c r="F68" s="8">
        <v>2</v>
      </c>
      <c r="G68" s="7">
        <v>0.04</v>
      </c>
      <c r="H68" s="8">
        <v>5</v>
      </c>
      <c r="I68" s="7">
        <v>0.09</v>
      </c>
      <c r="J68" s="8">
        <v>1</v>
      </c>
      <c r="K68" s="7">
        <v>0.02</v>
      </c>
      <c r="L68" s="12"/>
      <c r="M68" s="14"/>
      <c r="N68" s="8">
        <v>8</v>
      </c>
      <c r="O68" s="9">
        <v>0.15</v>
      </c>
    </row>
    <row r="69">
      <c r="A69" s="10" t="s">
        <v>13</v>
      </c>
      <c r="B69" s="11"/>
      <c r="C69" s="10"/>
      <c r="D69" s="11"/>
      <c r="E69" s="10"/>
      <c r="F69" s="11">
        <v>1</v>
      </c>
      <c r="G69" s="10">
        <v>0.02</v>
      </c>
      <c r="H69" s="11">
        <v>1</v>
      </c>
      <c r="I69" s="10">
        <v>0.02</v>
      </c>
      <c r="J69" s="11"/>
      <c r="K69" s="10"/>
      <c r="L69" s="11"/>
      <c r="M69" s="10"/>
      <c r="N69" s="12">
        <v>2</v>
      </c>
      <c r="O69" s="13">
        <v>0.04</v>
      </c>
    </row>
    <row r="70">
      <c r="A70" s="10" t="s">
        <v>14</v>
      </c>
      <c r="B70" s="11"/>
      <c r="C70" s="10"/>
      <c r="D70" s="11"/>
      <c r="E70" s="10"/>
      <c r="F70" s="11">
        <v>1</v>
      </c>
      <c r="G70" s="10">
        <v>0.02</v>
      </c>
      <c r="H70" s="11">
        <v>3</v>
      </c>
      <c r="I70" s="10">
        <v>0.05</v>
      </c>
      <c r="J70" s="11">
        <v>1</v>
      </c>
      <c r="K70" s="10">
        <v>0.02</v>
      </c>
      <c r="L70" s="11"/>
      <c r="M70" s="10"/>
      <c r="N70" s="12">
        <v>5</v>
      </c>
      <c r="O70" s="13">
        <v>0.09</v>
      </c>
    </row>
    <row r="71">
      <c r="A71" s="10" t="s">
        <v>15</v>
      </c>
      <c r="B71" s="11"/>
      <c r="C71" s="10"/>
      <c r="D71" s="11"/>
      <c r="E71" s="10"/>
      <c r="F71" s="11"/>
      <c r="G71" s="10"/>
      <c r="H71" s="11">
        <v>1</v>
      </c>
      <c r="I71" s="10">
        <v>0.02</v>
      </c>
      <c r="J71" s="11"/>
      <c r="K71" s="10"/>
      <c r="L71" s="11"/>
      <c r="M71" s="10"/>
      <c r="N71" s="12">
        <v>1</v>
      </c>
      <c r="O71" s="13">
        <v>0.02</v>
      </c>
    </row>
    <row r="72">
      <c r="A72" s="7" t="s">
        <v>31</v>
      </c>
      <c r="B72" s="12"/>
      <c r="C72" s="14"/>
      <c r="D72" s="12"/>
      <c r="E72" s="14"/>
      <c r="F72" s="8">
        <v>1</v>
      </c>
      <c r="G72" s="7">
        <v>0.02</v>
      </c>
      <c r="H72" s="12"/>
      <c r="I72" s="14"/>
      <c r="J72" s="8">
        <v>2</v>
      </c>
      <c r="K72" s="7">
        <v>0.04</v>
      </c>
      <c r="L72" s="12"/>
      <c r="M72" s="14"/>
      <c r="N72" s="8">
        <v>3</v>
      </c>
      <c r="O72" s="9">
        <v>0.06</v>
      </c>
    </row>
    <row r="73">
      <c r="A73" s="10" t="s">
        <v>14</v>
      </c>
      <c r="B73" s="11"/>
      <c r="C73" s="10"/>
      <c r="D73" s="11"/>
      <c r="E73" s="10"/>
      <c r="F73" s="11">
        <v>1</v>
      </c>
      <c r="G73" s="10">
        <v>0.02</v>
      </c>
      <c r="H73" s="11"/>
      <c r="I73" s="10"/>
      <c r="J73" s="11">
        <v>1</v>
      </c>
      <c r="K73" s="10">
        <v>0.02</v>
      </c>
      <c r="L73" s="11"/>
      <c r="M73" s="10"/>
      <c r="N73" s="12">
        <v>2</v>
      </c>
      <c r="O73" s="13">
        <v>0.04</v>
      </c>
    </row>
    <row r="74">
      <c r="A74" s="10" t="s">
        <v>15</v>
      </c>
      <c r="B74" s="11"/>
      <c r="C74" s="10"/>
      <c r="D74" s="11"/>
      <c r="E74" s="10"/>
      <c r="F74" s="11"/>
      <c r="G74" s="10"/>
      <c r="H74" s="11"/>
      <c r="I74" s="10"/>
      <c r="J74" s="11">
        <v>1</v>
      </c>
      <c r="K74" s="10">
        <v>0.02</v>
      </c>
      <c r="L74" s="11"/>
      <c r="M74" s="10"/>
      <c r="N74" s="12">
        <v>1</v>
      </c>
      <c r="O74" s="13">
        <v>0.02</v>
      </c>
    </row>
    <row r="75">
      <c r="A75" s="7" t="s">
        <v>32</v>
      </c>
      <c r="B75" s="12"/>
      <c r="C75" s="14"/>
      <c r="D75" s="12"/>
      <c r="E75" s="14"/>
      <c r="F75" s="8">
        <v>1</v>
      </c>
      <c r="G75" s="7">
        <v>0.02</v>
      </c>
      <c r="H75" s="8">
        <v>3</v>
      </c>
      <c r="I75" s="7">
        <v>0.05</v>
      </c>
      <c r="J75" s="8">
        <v>1</v>
      </c>
      <c r="K75" s="7">
        <v>0.02</v>
      </c>
      <c r="L75" s="12"/>
      <c r="M75" s="14"/>
      <c r="N75" s="8">
        <v>5</v>
      </c>
      <c r="O75" s="9">
        <v>0.09</v>
      </c>
    </row>
    <row r="76">
      <c r="A76" s="10" t="s">
        <v>14</v>
      </c>
      <c r="B76" s="11"/>
      <c r="C76" s="10"/>
      <c r="D76" s="11"/>
      <c r="E76" s="10"/>
      <c r="F76" s="11"/>
      <c r="G76" s="10"/>
      <c r="H76" s="11">
        <v>3</v>
      </c>
      <c r="I76" s="10">
        <v>0.05</v>
      </c>
      <c r="J76" s="11"/>
      <c r="K76" s="10"/>
      <c r="L76" s="11"/>
      <c r="M76" s="10"/>
      <c r="N76" s="12">
        <v>3</v>
      </c>
      <c r="O76" s="13">
        <v>0.05</v>
      </c>
    </row>
    <row r="77">
      <c r="A77" s="10" t="s">
        <v>15</v>
      </c>
      <c r="B77" s="11"/>
      <c r="C77" s="10"/>
      <c r="D77" s="11"/>
      <c r="E77" s="10"/>
      <c r="F77" s="11">
        <v>1</v>
      </c>
      <c r="G77" s="10">
        <v>0.02</v>
      </c>
      <c r="H77" s="11"/>
      <c r="I77" s="10"/>
      <c r="J77" s="11"/>
      <c r="K77" s="10"/>
      <c r="L77" s="11"/>
      <c r="M77" s="10"/>
      <c r="N77" s="12">
        <v>1</v>
      </c>
      <c r="O77" s="13">
        <v>0.02</v>
      </c>
    </row>
    <row r="78">
      <c r="A78" s="10" t="s">
        <v>17</v>
      </c>
      <c r="B78" s="11"/>
      <c r="C78" s="10"/>
      <c r="D78" s="11"/>
      <c r="E78" s="10"/>
      <c r="F78" s="11"/>
      <c r="G78" s="10"/>
      <c r="H78" s="11"/>
      <c r="I78" s="10"/>
      <c r="J78" s="11">
        <v>1</v>
      </c>
      <c r="K78" s="10">
        <v>0.02</v>
      </c>
      <c r="L78" s="11"/>
      <c r="M78" s="10"/>
      <c r="N78" s="12">
        <v>1</v>
      </c>
      <c r="O78" s="13">
        <v>0.02</v>
      </c>
    </row>
    <row r="79">
      <c r="A79" s="7" t="s">
        <v>33</v>
      </c>
      <c r="B79" s="12"/>
      <c r="C79" s="14"/>
      <c r="D79" s="12"/>
      <c r="E79" s="14"/>
      <c r="F79" s="12"/>
      <c r="G79" s="14"/>
      <c r="H79" s="8">
        <v>1</v>
      </c>
      <c r="I79" s="7">
        <v>0.02</v>
      </c>
      <c r="J79" s="12"/>
      <c r="K79" s="14"/>
      <c r="L79" s="12"/>
      <c r="M79" s="14"/>
      <c r="N79" s="8">
        <v>1</v>
      </c>
      <c r="O79" s="9">
        <v>0.02</v>
      </c>
    </row>
    <row r="80">
      <c r="A80" s="10" t="s">
        <v>14</v>
      </c>
      <c r="B80" s="11"/>
      <c r="C80" s="10"/>
      <c r="D80" s="11"/>
      <c r="E80" s="10"/>
      <c r="F80" s="11"/>
      <c r="G80" s="10"/>
      <c r="H80" s="11">
        <v>1</v>
      </c>
      <c r="I80" s="10">
        <v>0.02</v>
      </c>
      <c r="J80" s="11"/>
      <c r="K80" s="10"/>
      <c r="L80" s="11"/>
      <c r="M80" s="10"/>
      <c r="N80" s="12">
        <v>1</v>
      </c>
      <c r="O80" s="13">
        <v>0.02</v>
      </c>
    </row>
    <row r="81">
      <c r="A81" s="15" t="s">
        <v>11</v>
      </c>
      <c r="B81" s="16">
        <v>74</v>
      </c>
      <c r="C81" s="15">
        <v>1.36</v>
      </c>
      <c r="D81" s="16">
        <v>1575</v>
      </c>
      <c r="E81" s="15">
        <v>28.8</v>
      </c>
      <c r="F81" s="16">
        <v>2772</v>
      </c>
      <c r="G81" s="15">
        <v>50.65</v>
      </c>
      <c r="H81" s="16">
        <v>716</v>
      </c>
      <c r="I81" s="15">
        <v>13.08</v>
      </c>
      <c r="J81" s="16">
        <v>325</v>
      </c>
      <c r="K81" s="15">
        <v>5.92</v>
      </c>
      <c r="L81" s="16">
        <v>12</v>
      </c>
      <c r="M81" s="15">
        <v>0.24</v>
      </c>
      <c r="N81" s="16">
        <v>5474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34</v>
      </c>
      <c r="B1" s="2" t="s">
        <v>34</v>
      </c>
      <c r="C1" s="2" t="s">
        <v>34</v>
      </c>
      <c r="D1" s="2" t="s">
        <v>34</v>
      </c>
      <c r="E1" s="2" t="s">
        <v>34</v>
      </c>
      <c r="F1" s="2" t="s">
        <v>34</v>
      </c>
      <c r="G1" s="2" t="s">
        <v>34</v>
      </c>
      <c r="H1" s="2" t="s">
        <v>34</v>
      </c>
      <c r="I1" s="2" t="s">
        <v>34</v>
      </c>
      <c r="J1" s="2" t="s">
        <v>34</v>
      </c>
      <c r="K1" s="2" t="s">
        <v>34</v>
      </c>
      <c r="L1" s="2" t="s">
        <v>34</v>
      </c>
      <c r="M1" s="2" t="s">
        <v>34</v>
      </c>
      <c r="N1" s="2" t="s">
        <v>34</v>
      </c>
      <c r="O1" s="2" t="s">
        <v>34</v>
      </c>
    </row>
    <row r="2">
      <c r="A2" s="3" t="s">
        <v>1</v>
      </c>
      <c r="B2" s="4" t="s">
        <v>35</v>
      </c>
      <c r="C2" s="4" t="s">
        <v>3</v>
      </c>
      <c r="D2" s="4" t="s">
        <v>35</v>
      </c>
      <c r="E2" s="4" t="s">
        <v>3</v>
      </c>
      <c r="F2" s="4" t="s">
        <v>35</v>
      </c>
      <c r="G2" s="4" t="s">
        <v>3</v>
      </c>
      <c r="H2" s="4" t="s">
        <v>35</v>
      </c>
      <c r="I2" s="4" t="s">
        <v>3</v>
      </c>
      <c r="J2" s="4" t="s">
        <v>35</v>
      </c>
      <c r="K2" s="4" t="s">
        <v>3</v>
      </c>
      <c r="L2" s="4" t="s">
        <v>35</v>
      </c>
      <c r="M2" s="4" t="s">
        <v>3</v>
      </c>
      <c r="N2" s="4" t="s">
        <v>35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55.89</v>
      </c>
      <c r="C4" s="7">
        <v>0.79</v>
      </c>
      <c r="D4" s="17">
        <v>957.993</v>
      </c>
      <c r="E4" s="7">
        <v>13.55</v>
      </c>
      <c r="F4" s="17">
        <v>1542.092</v>
      </c>
      <c r="G4" s="7">
        <v>21.8</v>
      </c>
      <c r="H4" s="17">
        <v>223.07</v>
      </c>
      <c r="I4" s="7">
        <v>3.15</v>
      </c>
      <c r="J4" s="17">
        <v>187.24</v>
      </c>
      <c r="K4" s="7">
        <v>2.64</v>
      </c>
      <c r="L4" s="17">
        <v>4.04</v>
      </c>
      <c r="M4" s="7">
        <v>0.05</v>
      </c>
      <c r="N4" s="17">
        <v>2970.325</v>
      </c>
      <c r="O4" s="9">
        <v>41.98</v>
      </c>
    </row>
    <row r="5">
      <c r="A5" s="10" t="s">
        <v>13</v>
      </c>
      <c r="B5" s="18">
        <v>17.54</v>
      </c>
      <c r="C5" s="10">
        <v>0.25</v>
      </c>
      <c r="D5" s="18">
        <v>299.45</v>
      </c>
      <c r="E5" s="10">
        <v>4.23</v>
      </c>
      <c r="F5" s="18">
        <v>732.536</v>
      </c>
      <c r="G5" s="10">
        <v>10.36</v>
      </c>
      <c r="H5" s="18">
        <v>102.26</v>
      </c>
      <c r="I5" s="10">
        <v>1.45</v>
      </c>
      <c r="J5" s="18">
        <v>58.21</v>
      </c>
      <c r="K5" s="10">
        <v>0.82</v>
      </c>
      <c r="L5" s="18">
        <v>1.01</v>
      </c>
      <c r="M5" s="10">
        <v>0.01</v>
      </c>
      <c r="N5" s="19">
        <v>1211.006</v>
      </c>
      <c r="O5" s="13">
        <v>17.12</v>
      </c>
    </row>
    <row r="6">
      <c r="A6" s="10" t="s">
        <v>14</v>
      </c>
      <c r="B6" s="18">
        <v>20.66</v>
      </c>
      <c r="C6" s="10">
        <v>0.29</v>
      </c>
      <c r="D6" s="18">
        <v>368.42</v>
      </c>
      <c r="E6" s="10">
        <v>5.21</v>
      </c>
      <c r="F6" s="18">
        <v>464.768</v>
      </c>
      <c r="G6" s="10">
        <v>6.57</v>
      </c>
      <c r="H6" s="18">
        <v>57.21</v>
      </c>
      <c r="I6" s="10">
        <v>0.81</v>
      </c>
      <c r="J6" s="18">
        <v>98.48</v>
      </c>
      <c r="K6" s="10">
        <v>1.39</v>
      </c>
      <c r="L6" s="18">
        <v>2.01</v>
      </c>
      <c r="M6" s="10">
        <v>0.03</v>
      </c>
      <c r="N6" s="19">
        <v>1011.548</v>
      </c>
      <c r="O6" s="13">
        <v>14.3</v>
      </c>
    </row>
    <row r="7">
      <c r="A7" s="10" t="s">
        <v>15</v>
      </c>
      <c r="B7" s="18">
        <v>13.59</v>
      </c>
      <c r="C7" s="10">
        <v>0.19</v>
      </c>
      <c r="D7" s="18">
        <v>240.373</v>
      </c>
      <c r="E7" s="10">
        <v>3.4</v>
      </c>
      <c r="F7" s="18">
        <v>314.098</v>
      </c>
      <c r="G7" s="10">
        <v>4.44</v>
      </c>
      <c r="H7" s="18">
        <v>56.22</v>
      </c>
      <c r="I7" s="10">
        <v>0.79</v>
      </c>
      <c r="J7" s="18">
        <v>26.37</v>
      </c>
      <c r="K7" s="10">
        <v>0.37</v>
      </c>
      <c r="L7" s="18">
        <v>1.02</v>
      </c>
      <c r="M7" s="10">
        <v>0.01</v>
      </c>
      <c r="N7" s="19">
        <v>651.671</v>
      </c>
      <c r="O7" s="13">
        <v>9.2</v>
      </c>
    </row>
    <row r="8">
      <c r="A8" s="10" t="s">
        <v>16</v>
      </c>
      <c r="B8" s="18">
        <v>4.1</v>
      </c>
      <c r="C8" s="10">
        <v>0.06</v>
      </c>
      <c r="D8" s="18">
        <v>44.41</v>
      </c>
      <c r="E8" s="10">
        <v>0.63</v>
      </c>
      <c r="F8" s="18">
        <v>25.4</v>
      </c>
      <c r="G8" s="10">
        <v>0.36</v>
      </c>
      <c r="H8" s="18">
        <v>7.38</v>
      </c>
      <c r="I8" s="10">
        <v>0.1</v>
      </c>
      <c r="J8" s="18">
        <v>4.18</v>
      </c>
      <c r="K8" s="10">
        <v>0.06</v>
      </c>
      <c r="L8" s="18"/>
      <c r="M8" s="10"/>
      <c r="N8" s="19">
        <v>85.47</v>
      </c>
      <c r="O8" s="13">
        <v>1.21</v>
      </c>
    </row>
    <row r="9">
      <c r="A9" s="10" t="s">
        <v>17</v>
      </c>
      <c r="B9" s="18"/>
      <c r="C9" s="10"/>
      <c r="D9" s="18">
        <v>5.34</v>
      </c>
      <c r="E9" s="10">
        <v>0.08</v>
      </c>
      <c r="F9" s="18">
        <v>5.29</v>
      </c>
      <c r="G9" s="10">
        <v>0.07</v>
      </c>
      <c r="H9" s="18"/>
      <c r="I9" s="10"/>
      <c r="J9" s="18"/>
      <c r="K9" s="10"/>
      <c r="L9" s="18"/>
      <c r="M9" s="10"/>
      <c r="N9" s="19">
        <v>10.63</v>
      </c>
      <c r="O9" s="13">
        <v>0.15</v>
      </c>
    </row>
    <row r="10">
      <c r="A10" s="7" t="s">
        <v>18</v>
      </c>
      <c r="B10" s="19"/>
      <c r="C10" s="14"/>
      <c r="D10" s="17">
        <v>17.84</v>
      </c>
      <c r="E10" s="7">
        <v>0.27</v>
      </c>
      <c r="F10" s="17">
        <v>35.36</v>
      </c>
      <c r="G10" s="7">
        <v>0.5</v>
      </c>
      <c r="H10" s="17">
        <v>19.33</v>
      </c>
      <c r="I10" s="7">
        <v>0.28</v>
      </c>
      <c r="J10" s="17">
        <v>3.33</v>
      </c>
      <c r="K10" s="7">
        <v>0.05</v>
      </c>
      <c r="L10" s="19"/>
      <c r="M10" s="14"/>
      <c r="N10" s="17">
        <v>75.86</v>
      </c>
      <c r="O10" s="9">
        <v>1.1</v>
      </c>
    </row>
    <row r="11">
      <c r="A11" s="10" t="s">
        <v>13</v>
      </c>
      <c r="B11" s="18"/>
      <c r="C11" s="10"/>
      <c r="D11" s="18">
        <v>3.33</v>
      </c>
      <c r="E11" s="10">
        <v>0.05</v>
      </c>
      <c r="F11" s="18">
        <v>2.36</v>
      </c>
      <c r="G11" s="10">
        <v>0.03</v>
      </c>
      <c r="H11" s="18">
        <v>3.5</v>
      </c>
      <c r="I11" s="10">
        <v>0.05</v>
      </c>
      <c r="J11" s="18"/>
      <c r="K11" s="10"/>
      <c r="L11" s="18"/>
      <c r="M11" s="10"/>
      <c r="N11" s="19">
        <v>9.19</v>
      </c>
      <c r="O11" s="13">
        <v>0.13</v>
      </c>
    </row>
    <row r="12">
      <c r="A12" s="10" t="s">
        <v>14</v>
      </c>
      <c r="B12" s="18"/>
      <c r="C12" s="10"/>
      <c r="D12" s="18">
        <v>3.33</v>
      </c>
      <c r="E12" s="10">
        <v>0.05</v>
      </c>
      <c r="F12" s="18">
        <v>22.63</v>
      </c>
      <c r="G12" s="10">
        <v>0.32</v>
      </c>
      <c r="H12" s="18">
        <v>11.18</v>
      </c>
      <c r="I12" s="10">
        <v>0.16</v>
      </c>
      <c r="J12" s="18">
        <v>3.33</v>
      </c>
      <c r="K12" s="10">
        <v>0.05</v>
      </c>
      <c r="L12" s="18"/>
      <c r="M12" s="10"/>
      <c r="N12" s="19">
        <v>40.47</v>
      </c>
      <c r="O12" s="13">
        <v>0.58</v>
      </c>
    </row>
    <row r="13">
      <c r="A13" s="10" t="s">
        <v>15</v>
      </c>
      <c r="B13" s="18"/>
      <c r="C13" s="10"/>
      <c r="D13" s="18">
        <v>8.95</v>
      </c>
      <c r="E13" s="10">
        <v>0.13</v>
      </c>
      <c r="F13" s="18">
        <v>9.2</v>
      </c>
      <c r="G13" s="10">
        <v>0.13</v>
      </c>
      <c r="H13" s="18">
        <v>4.65</v>
      </c>
      <c r="I13" s="10">
        <v>0.07</v>
      </c>
      <c r="J13" s="18"/>
      <c r="K13" s="10"/>
      <c r="L13" s="18"/>
      <c r="M13" s="10"/>
      <c r="N13" s="19">
        <v>22.8</v>
      </c>
      <c r="O13" s="13">
        <v>0.33</v>
      </c>
    </row>
    <row r="14">
      <c r="A14" s="10" t="s">
        <v>16</v>
      </c>
      <c r="B14" s="18"/>
      <c r="C14" s="10"/>
      <c r="D14" s="18">
        <v>1.12</v>
      </c>
      <c r="E14" s="10">
        <v>0.02</v>
      </c>
      <c r="F14" s="18">
        <v>1.17</v>
      </c>
      <c r="G14" s="10">
        <v>0.02</v>
      </c>
      <c r="H14" s="18"/>
      <c r="I14" s="10"/>
      <c r="J14" s="18"/>
      <c r="K14" s="10"/>
      <c r="L14" s="18"/>
      <c r="M14" s="10"/>
      <c r="N14" s="19">
        <v>2.29</v>
      </c>
      <c r="O14" s="13">
        <v>0.04</v>
      </c>
    </row>
    <row r="15">
      <c r="A15" s="10" t="s">
        <v>17</v>
      </c>
      <c r="B15" s="18"/>
      <c r="C15" s="10"/>
      <c r="D15" s="18">
        <v>1.11</v>
      </c>
      <c r="E15" s="10">
        <v>0.02</v>
      </c>
      <c r="F15" s="18"/>
      <c r="G15" s="10"/>
      <c r="H15" s="18"/>
      <c r="I15" s="10"/>
      <c r="J15" s="18"/>
      <c r="K15" s="10"/>
      <c r="L15" s="18"/>
      <c r="M15" s="10"/>
      <c r="N15" s="19">
        <v>1.11</v>
      </c>
      <c r="O15" s="13">
        <v>0.02</v>
      </c>
    </row>
    <row r="16">
      <c r="A16" s="7" t="s">
        <v>19</v>
      </c>
      <c r="B16" s="17">
        <v>7.58</v>
      </c>
      <c r="C16" s="7">
        <v>0.11</v>
      </c>
      <c r="D16" s="17">
        <v>207.22</v>
      </c>
      <c r="E16" s="7">
        <v>2.93</v>
      </c>
      <c r="F16" s="17">
        <v>211.57</v>
      </c>
      <c r="G16" s="7">
        <v>2.99</v>
      </c>
      <c r="H16" s="17">
        <v>82.04</v>
      </c>
      <c r="I16" s="7">
        <v>1.16</v>
      </c>
      <c r="J16" s="17">
        <v>28.31</v>
      </c>
      <c r="K16" s="7">
        <v>0.4</v>
      </c>
      <c r="L16" s="17">
        <v>2.52</v>
      </c>
      <c r="M16" s="7">
        <v>0.04</v>
      </c>
      <c r="N16" s="17">
        <v>539.24</v>
      </c>
      <c r="O16" s="9">
        <v>7.63</v>
      </c>
    </row>
    <row r="17">
      <c r="A17" s="10" t="s">
        <v>13</v>
      </c>
      <c r="B17" s="18">
        <v>3.74</v>
      </c>
      <c r="C17" s="10">
        <v>0.05</v>
      </c>
      <c r="D17" s="18">
        <v>39.58</v>
      </c>
      <c r="E17" s="10">
        <v>0.56</v>
      </c>
      <c r="F17" s="18">
        <v>33.98</v>
      </c>
      <c r="G17" s="10">
        <v>0.48</v>
      </c>
      <c r="H17" s="18">
        <v>29.33</v>
      </c>
      <c r="I17" s="10">
        <v>0.41</v>
      </c>
      <c r="J17" s="18">
        <v>8.58</v>
      </c>
      <c r="K17" s="10">
        <v>0.12</v>
      </c>
      <c r="L17" s="18">
        <v>1.23</v>
      </c>
      <c r="M17" s="10">
        <v>0.02</v>
      </c>
      <c r="N17" s="19">
        <v>116.44</v>
      </c>
      <c r="O17" s="13">
        <v>1.64</v>
      </c>
    </row>
    <row r="18">
      <c r="A18" s="10" t="s">
        <v>14</v>
      </c>
      <c r="B18" s="18">
        <v>2.54</v>
      </c>
      <c r="C18" s="10">
        <v>0.04</v>
      </c>
      <c r="D18" s="18">
        <v>76.76</v>
      </c>
      <c r="E18" s="10">
        <v>1.09</v>
      </c>
      <c r="F18" s="18">
        <v>30.3</v>
      </c>
      <c r="G18" s="10">
        <v>0.43</v>
      </c>
      <c r="H18" s="18">
        <v>28.17</v>
      </c>
      <c r="I18" s="10">
        <v>0.4</v>
      </c>
      <c r="J18" s="18">
        <v>4.94</v>
      </c>
      <c r="K18" s="10">
        <v>0.07</v>
      </c>
      <c r="L18" s="18"/>
      <c r="M18" s="10"/>
      <c r="N18" s="19">
        <v>142.71</v>
      </c>
      <c r="O18" s="13">
        <v>2.03</v>
      </c>
    </row>
    <row r="19">
      <c r="A19" s="10" t="s">
        <v>15</v>
      </c>
      <c r="B19" s="18">
        <v>1.3</v>
      </c>
      <c r="C19" s="10">
        <v>0.02</v>
      </c>
      <c r="D19" s="18">
        <v>69.66</v>
      </c>
      <c r="E19" s="10">
        <v>0.98</v>
      </c>
      <c r="F19" s="18">
        <v>127.53</v>
      </c>
      <c r="G19" s="10">
        <v>1.8</v>
      </c>
      <c r="H19" s="18">
        <v>22.05</v>
      </c>
      <c r="I19" s="10">
        <v>0.31</v>
      </c>
      <c r="J19" s="18">
        <v>14.79</v>
      </c>
      <c r="K19" s="10">
        <v>0.21</v>
      </c>
      <c r="L19" s="18">
        <v>1.29</v>
      </c>
      <c r="M19" s="10">
        <v>0.02</v>
      </c>
      <c r="N19" s="19">
        <v>236.62</v>
      </c>
      <c r="O19" s="13">
        <v>3.34</v>
      </c>
    </row>
    <row r="20">
      <c r="A20" s="10" t="s">
        <v>16</v>
      </c>
      <c r="B20" s="18"/>
      <c r="C20" s="10"/>
      <c r="D20" s="18">
        <v>14.93</v>
      </c>
      <c r="E20" s="10">
        <v>0.21</v>
      </c>
      <c r="F20" s="18">
        <v>19.76</v>
      </c>
      <c r="G20" s="10">
        <v>0.28</v>
      </c>
      <c r="H20" s="18">
        <v>2.49</v>
      </c>
      <c r="I20" s="10">
        <v>0.04</v>
      </c>
      <c r="J20" s="18"/>
      <c r="K20" s="10"/>
      <c r="L20" s="18"/>
      <c r="M20" s="10"/>
      <c r="N20" s="19">
        <v>37.18</v>
      </c>
      <c r="O20" s="13">
        <v>0.53</v>
      </c>
    </row>
    <row r="21">
      <c r="A21" s="10" t="s">
        <v>17</v>
      </c>
      <c r="B21" s="18"/>
      <c r="C21" s="10"/>
      <c r="D21" s="18">
        <v>5.08</v>
      </c>
      <c r="E21" s="10">
        <v>0.07</v>
      </c>
      <c r="F21" s="18"/>
      <c r="G21" s="10"/>
      <c r="H21" s="18"/>
      <c r="I21" s="10"/>
      <c r="J21" s="18"/>
      <c r="K21" s="10"/>
      <c r="L21" s="18"/>
      <c r="M21" s="10"/>
      <c r="N21" s="19">
        <v>5.08</v>
      </c>
      <c r="O21" s="13">
        <v>0.07</v>
      </c>
    </row>
    <row r="22">
      <c r="A22" s="10" t="s">
        <v>20</v>
      </c>
      <c r="B22" s="18"/>
      <c r="C22" s="10"/>
      <c r="D22" s="18">
        <v>1.21</v>
      </c>
      <c r="E22" s="10">
        <v>0.02</v>
      </c>
      <c r="F22" s="18"/>
      <c r="G22" s="10"/>
      <c r="H22" s="18"/>
      <c r="I22" s="10"/>
      <c r="J22" s="18"/>
      <c r="K22" s="10"/>
      <c r="L22" s="18"/>
      <c r="M22" s="10"/>
      <c r="N22" s="19">
        <v>1.21</v>
      </c>
      <c r="O22" s="13">
        <v>0.02</v>
      </c>
    </row>
    <row r="23">
      <c r="A23" s="7" t="s">
        <v>21</v>
      </c>
      <c r="B23" s="19"/>
      <c r="C23" s="14"/>
      <c r="D23" s="17">
        <v>6.93</v>
      </c>
      <c r="E23" s="7">
        <v>0.1</v>
      </c>
      <c r="F23" s="17">
        <v>5.35</v>
      </c>
      <c r="G23" s="7">
        <v>0.08</v>
      </c>
      <c r="H23" s="17">
        <v>1.49</v>
      </c>
      <c r="I23" s="7">
        <v>0.02</v>
      </c>
      <c r="J23" s="17">
        <v>13.8</v>
      </c>
      <c r="K23" s="7">
        <v>0.19</v>
      </c>
      <c r="L23" s="19"/>
      <c r="M23" s="14"/>
      <c r="N23" s="17">
        <v>27.57</v>
      </c>
      <c r="O23" s="9">
        <v>0.39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1.49</v>
      </c>
      <c r="I24" s="10">
        <v>0.02</v>
      </c>
      <c r="J24" s="18">
        <v>1.49</v>
      </c>
      <c r="K24" s="10">
        <v>0.02</v>
      </c>
      <c r="L24" s="18"/>
      <c r="M24" s="10"/>
      <c r="N24" s="19">
        <v>2.98</v>
      </c>
      <c r="O24" s="13">
        <v>0.04</v>
      </c>
    </row>
    <row r="25">
      <c r="A25" s="10" t="s">
        <v>14</v>
      </c>
      <c r="B25" s="18"/>
      <c r="C25" s="10"/>
      <c r="D25" s="18">
        <v>2.82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2.82</v>
      </c>
      <c r="O25" s="13">
        <v>0.04</v>
      </c>
    </row>
    <row r="26">
      <c r="A26" s="10" t="s">
        <v>15</v>
      </c>
      <c r="B26" s="18"/>
      <c r="C26" s="10"/>
      <c r="D26" s="18">
        <v>1.31</v>
      </c>
      <c r="E26" s="10">
        <v>0.02</v>
      </c>
      <c r="F26" s="18">
        <v>5.35</v>
      </c>
      <c r="G26" s="10">
        <v>0.08</v>
      </c>
      <c r="H26" s="18"/>
      <c r="I26" s="10"/>
      <c r="J26" s="18">
        <v>12.31</v>
      </c>
      <c r="K26" s="10">
        <v>0.17</v>
      </c>
      <c r="L26" s="18"/>
      <c r="M26" s="10"/>
      <c r="N26" s="19">
        <v>18.97</v>
      </c>
      <c r="O26" s="13">
        <v>0.27</v>
      </c>
    </row>
    <row r="27">
      <c r="A27" s="10" t="s">
        <v>16</v>
      </c>
      <c r="B27" s="18"/>
      <c r="C27" s="10"/>
      <c r="D27" s="18">
        <v>2.8</v>
      </c>
      <c r="E27" s="10">
        <v>0.04</v>
      </c>
      <c r="F27" s="18"/>
      <c r="G27" s="10"/>
      <c r="H27" s="18"/>
      <c r="I27" s="10"/>
      <c r="J27" s="18"/>
      <c r="K27" s="10"/>
      <c r="L27" s="18"/>
      <c r="M27" s="10"/>
      <c r="N27" s="19">
        <v>2.8</v>
      </c>
      <c r="O27" s="13">
        <v>0.04</v>
      </c>
    </row>
    <row r="28">
      <c r="A28" s="7" t="s">
        <v>22</v>
      </c>
      <c r="B28" s="17">
        <v>21.49</v>
      </c>
      <c r="C28" s="7">
        <v>0.3</v>
      </c>
      <c r="D28" s="17">
        <v>648.09</v>
      </c>
      <c r="E28" s="7">
        <v>9.15</v>
      </c>
      <c r="F28" s="17">
        <v>1487.47</v>
      </c>
      <c r="G28" s="7">
        <v>21.03</v>
      </c>
      <c r="H28" s="17">
        <v>458.34</v>
      </c>
      <c r="I28" s="7">
        <v>6.48</v>
      </c>
      <c r="J28" s="17">
        <v>106.58</v>
      </c>
      <c r="K28" s="7">
        <v>1.5</v>
      </c>
      <c r="L28" s="17">
        <v>9.1</v>
      </c>
      <c r="M28" s="7">
        <v>0.12</v>
      </c>
      <c r="N28" s="17">
        <v>2731.07</v>
      </c>
      <c r="O28" s="9">
        <v>38.58</v>
      </c>
    </row>
    <row r="29">
      <c r="A29" s="10" t="s">
        <v>13</v>
      </c>
      <c r="B29" s="18">
        <v>3.03</v>
      </c>
      <c r="C29" s="10">
        <v>0.04</v>
      </c>
      <c r="D29" s="18">
        <v>188.02</v>
      </c>
      <c r="E29" s="10">
        <v>2.66</v>
      </c>
      <c r="F29" s="18">
        <v>492.05</v>
      </c>
      <c r="G29" s="10">
        <v>6.96</v>
      </c>
      <c r="H29" s="18">
        <v>88.48</v>
      </c>
      <c r="I29" s="10">
        <v>1.25</v>
      </c>
      <c r="J29" s="18">
        <v>37.97</v>
      </c>
      <c r="K29" s="10">
        <v>0.54</v>
      </c>
      <c r="L29" s="18">
        <v>3</v>
      </c>
      <c r="M29" s="10">
        <v>0.04</v>
      </c>
      <c r="N29" s="19">
        <v>812.55</v>
      </c>
      <c r="O29" s="13">
        <v>11.49</v>
      </c>
    </row>
    <row r="30">
      <c r="A30" s="10" t="s">
        <v>14</v>
      </c>
      <c r="B30" s="18">
        <v>10.71</v>
      </c>
      <c r="C30" s="10">
        <v>0.15</v>
      </c>
      <c r="D30" s="18">
        <v>213.91</v>
      </c>
      <c r="E30" s="10">
        <v>3.02</v>
      </c>
      <c r="F30" s="18">
        <v>535.46</v>
      </c>
      <c r="G30" s="10">
        <v>7.57</v>
      </c>
      <c r="H30" s="18">
        <v>204.83</v>
      </c>
      <c r="I30" s="10">
        <v>2.9</v>
      </c>
      <c r="J30" s="18">
        <v>24.34</v>
      </c>
      <c r="K30" s="10">
        <v>0.34</v>
      </c>
      <c r="L30" s="18">
        <v>3.06</v>
      </c>
      <c r="M30" s="10">
        <v>0.04</v>
      </c>
      <c r="N30" s="19">
        <v>992.31</v>
      </c>
      <c r="O30" s="13">
        <v>14.02</v>
      </c>
    </row>
    <row r="31">
      <c r="A31" s="10" t="s">
        <v>15</v>
      </c>
      <c r="B31" s="18">
        <v>4.66</v>
      </c>
      <c r="C31" s="10">
        <v>0.07</v>
      </c>
      <c r="D31" s="18">
        <v>194.14</v>
      </c>
      <c r="E31" s="10">
        <v>2.74</v>
      </c>
      <c r="F31" s="18">
        <v>407.64</v>
      </c>
      <c r="G31" s="10">
        <v>5.76</v>
      </c>
      <c r="H31" s="18">
        <v>157.3</v>
      </c>
      <c r="I31" s="10">
        <v>2.22</v>
      </c>
      <c r="J31" s="18">
        <v>39.58</v>
      </c>
      <c r="K31" s="10">
        <v>0.56</v>
      </c>
      <c r="L31" s="18">
        <v>1.51</v>
      </c>
      <c r="M31" s="10">
        <v>0.02</v>
      </c>
      <c r="N31" s="19">
        <v>804.83</v>
      </c>
      <c r="O31" s="13">
        <v>11.37</v>
      </c>
    </row>
    <row r="32">
      <c r="A32" s="10" t="s">
        <v>16</v>
      </c>
      <c r="B32" s="18">
        <v>3.09</v>
      </c>
      <c r="C32" s="10">
        <v>0.04</v>
      </c>
      <c r="D32" s="18">
        <v>47.43</v>
      </c>
      <c r="E32" s="10">
        <v>0.67</v>
      </c>
      <c r="F32" s="18">
        <v>49.27</v>
      </c>
      <c r="G32" s="10">
        <v>0.7</v>
      </c>
      <c r="H32" s="18">
        <v>6.2</v>
      </c>
      <c r="I32" s="10">
        <v>0.09</v>
      </c>
      <c r="J32" s="18">
        <v>3.17</v>
      </c>
      <c r="K32" s="10">
        <v>0.04</v>
      </c>
      <c r="L32" s="18">
        <v>1.53</v>
      </c>
      <c r="M32" s="10">
        <v>0.02</v>
      </c>
      <c r="N32" s="19">
        <v>110.69</v>
      </c>
      <c r="O32" s="13">
        <v>1.56</v>
      </c>
    </row>
    <row r="33">
      <c r="A33" s="10" t="s">
        <v>17</v>
      </c>
      <c r="B33" s="18"/>
      <c r="C33" s="10"/>
      <c r="D33" s="18">
        <v>4.59</v>
      </c>
      <c r="E33" s="10">
        <v>0.06</v>
      </c>
      <c r="F33" s="18">
        <v>3.05</v>
      </c>
      <c r="G33" s="10">
        <v>0.04</v>
      </c>
      <c r="H33" s="18">
        <v>1.53</v>
      </c>
      <c r="I33" s="10">
        <v>0.02</v>
      </c>
      <c r="J33" s="18">
        <v>1.52</v>
      </c>
      <c r="K33" s="10">
        <v>0.02</v>
      </c>
      <c r="L33" s="18"/>
      <c r="M33" s="10"/>
      <c r="N33" s="19">
        <v>10.69</v>
      </c>
      <c r="O33" s="13">
        <v>0.14</v>
      </c>
    </row>
    <row r="34">
      <c r="A34" s="7" t="s">
        <v>23</v>
      </c>
      <c r="B34" s="19"/>
      <c r="C34" s="14"/>
      <c r="D34" s="17">
        <v>8.03</v>
      </c>
      <c r="E34" s="7">
        <v>0.12</v>
      </c>
      <c r="F34" s="17">
        <v>17.62</v>
      </c>
      <c r="G34" s="7">
        <v>0.25</v>
      </c>
      <c r="H34" s="17">
        <v>9.62</v>
      </c>
      <c r="I34" s="7">
        <v>0.14</v>
      </c>
      <c r="J34" s="19"/>
      <c r="K34" s="14"/>
      <c r="L34" s="19"/>
      <c r="M34" s="14"/>
      <c r="N34" s="17">
        <v>35.27</v>
      </c>
      <c r="O34" s="9">
        <v>0.51</v>
      </c>
    </row>
    <row r="35">
      <c r="A35" s="10" t="s">
        <v>13</v>
      </c>
      <c r="B35" s="18"/>
      <c r="C35" s="10"/>
      <c r="D35" s="18">
        <v>3.21</v>
      </c>
      <c r="E35" s="10">
        <v>0.05</v>
      </c>
      <c r="F35" s="18">
        <v>4.8</v>
      </c>
      <c r="G35" s="10">
        <v>0.07</v>
      </c>
      <c r="H35" s="18">
        <v>1.6</v>
      </c>
      <c r="I35" s="10">
        <v>0.02</v>
      </c>
      <c r="J35" s="18"/>
      <c r="K35" s="10"/>
      <c r="L35" s="18"/>
      <c r="M35" s="10"/>
      <c r="N35" s="19">
        <v>9.61</v>
      </c>
      <c r="O35" s="13">
        <v>0.14</v>
      </c>
    </row>
    <row r="36">
      <c r="A36" s="10" t="s">
        <v>14</v>
      </c>
      <c r="B36" s="18"/>
      <c r="C36" s="10"/>
      <c r="D36" s="18">
        <v>3.21</v>
      </c>
      <c r="E36" s="10">
        <v>0.05</v>
      </c>
      <c r="F36" s="18">
        <v>3.2</v>
      </c>
      <c r="G36" s="10">
        <v>0.05</v>
      </c>
      <c r="H36" s="18">
        <v>4.82</v>
      </c>
      <c r="I36" s="10">
        <v>0.07</v>
      </c>
      <c r="J36" s="18"/>
      <c r="K36" s="10"/>
      <c r="L36" s="18"/>
      <c r="M36" s="10"/>
      <c r="N36" s="19">
        <v>11.23</v>
      </c>
      <c r="O36" s="13">
        <v>0.17</v>
      </c>
    </row>
    <row r="37">
      <c r="A37" s="10" t="s">
        <v>15</v>
      </c>
      <c r="B37" s="18"/>
      <c r="C37" s="10"/>
      <c r="D37" s="18">
        <v>1.61</v>
      </c>
      <c r="E37" s="10">
        <v>0.02</v>
      </c>
      <c r="F37" s="18">
        <v>6.4</v>
      </c>
      <c r="G37" s="10">
        <v>0.09</v>
      </c>
      <c r="H37" s="18">
        <v>3.2</v>
      </c>
      <c r="I37" s="10">
        <v>0.05</v>
      </c>
      <c r="J37" s="18"/>
      <c r="K37" s="10"/>
      <c r="L37" s="18"/>
      <c r="M37" s="10"/>
      <c r="N37" s="19">
        <v>11.21</v>
      </c>
      <c r="O37" s="13">
        <v>0.16</v>
      </c>
    </row>
    <row r="38">
      <c r="A38" s="10" t="s">
        <v>16</v>
      </c>
      <c r="B38" s="18"/>
      <c r="C38" s="10"/>
      <c r="D38" s="18"/>
      <c r="E38" s="10"/>
      <c r="F38" s="18">
        <v>1.62</v>
      </c>
      <c r="G38" s="10">
        <v>0.02</v>
      </c>
      <c r="H38" s="18"/>
      <c r="I38" s="10"/>
      <c r="J38" s="18"/>
      <c r="K38" s="10"/>
      <c r="L38" s="18"/>
      <c r="M38" s="10"/>
      <c r="N38" s="19">
        <v>1.62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1.6</v>
      </c>
      <c r="G39" s="10">
        <v>0.02</v>
      </c>
      <c r="H39" s="18"/>
      <c r="I39" s="10"/>
      <c r="J39" s="18"/>
      <c r="K39" s="10"/>
      <c r="L39" s="18"/>
      <c r="M39" s="10"/>
      <c r="N39" s="19">
        <v>1.6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1.94</v>
      </c>
      <c r="G40" s="7">
        <v>0.03</v>
      </c>
      <c r="H40" s="17">
        <v>1.85</v>
      </c>
      <c r="I40" s="7">
        <v>0.03</v>
      </c>
      <c r="J40" s="17">
        <v>11.18</v>
      </c>
      <c r="K40" s="7">
        <v>0.16</v>
      </c>
      <c r="L40" s="19"/>
      <c r="M40" s="14"/>
      <c r="N40" s="17">
        <v>14.97</v>
      </c>
      <c r="O40" s="9">
        <v>0.22</v>
      </c>
    </row>
    <row r="41">
      <c r="A41" s="10" t="s">
        <v>14</v>
      </c>
      <c r="B41" s="18"/>
      <c r="C41" s="10"/>
      <c r="D41" s="18"/>
      <c r="E41" s="10"/>
      <c r="F41" s="18">
        <v>1.94</v>
      </c>
      <c r="G41" s="10">
        <v>0.03</v>
      </c>
      <c r="H41" s="18">
        <v>1.85</v>
      </c>
      <c r="I41" s="10">
        <v>0.03</v>
      </c>
      <c r="J41" s="18">
        <v>5.61</v>
      </c>
      <c r="K41" s="10">
        <v>0.08</v>
      </c>
      <c r="L41" s="18"/>
      <c r="M41" s="10"/>
      <c r="N41" s="19">
        <v>9.4</v>
      </c>
      <c r="O41" s="13">
        <v>0.14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5.57</v>
      </c>
      <c r="K42" s="10">
        <v>0.08</v>
      </c>
      <c r="L42" s="18"/>
      <c r="M42" s="10"/>
      <c r="N42" s="19">
        <v>5.57</v>
      </c>
      <c r="O42" s="13">
        <v>0.08</v>
      </c>
    </row>
    <row r="43">
      <c r="A43" s="7" t="s">
        <v>25</v>
      </c>
      <c r="B43" s="19"/>
      <c r="C43" s="14"/>
      <c r="D43" s="17">
        <v>69.12</v>
      </c>
      <c r="E43" s="7">
        <v>0.97</v>
      </c>
      <c r="F43" s="17">
        <v>144.62</v>
      </c>
      <c r="G43" s="7">
        <v>2.05</v>
      </c>
      <c r="H43" s="17">
        <v>156</v>
      </c>
      <c r="I43" s="7">
        <v>2.21</v>
      </c>
      <c r="J43" s="17">
        <v>36.26</v>
      </c>
      <c r="K43" s="7">
        <v>0.51</v>
      </c>
      <c r="L43" s="19"/>
      <c r="M43" s="14"/>
      <c r="N43" s="17">
        <v>406</v>
      </c>
      <c r="O43" s="9">
        <v>5.74</v>
      </c>
    </row>
    <row r="44">
      <c r="A44" s="10" t="s">
        <v>13</v>
      </c>
      <c r="B44" s="18"/>
      <c r="C44" s="10"/>
      <c r="D44" s="18">
        <v>10.2</v>
      </c>
      <c r="E44" s="10">
        <v>0.14</v>
      </c>
      <c r="F44" s="18">
        <v>30.57</v>
      </c>
      <c r="G44" s="10">
        <v>0.43</v>
      </c>
      <c r="H44" s="18">
        <v>26.35</v>
      </c>
      <c r="I44" s="10">
        <v>0.37</v>
      </c>
      <c r="J44" s="18">
        <v>8.09</v>
      </c>
      <c r="K44" s="10">
        <v>0.11</v>
      </c>
      <c r="L44" s="18"/>
      <c r="M44" s="10"/>
      <c r="N44" s="19">
        <v>75.21</v>
      </c>
      <c r="O44" s="13">
        <v>1.05</v>
      </c>
    </row>
    <row r="45">
      <c r="A45" s="10" t="s">
        <v>14</v>
      </c>
      <c r="B45" s="18"/>
      <c r="C45" s="10"/>
      <c r="D45" s="18">
        <v>14.26</v>
      </c>
      <c r="E45" s="10">
        <v>0.2</v>
      </c>
      <c r="F45" s="18">
        <v>52.99</v>
      </c>
      <c r="G45" s="10">
        <v>0.75</v>
      </c>
      <c r="H45" s="18">
        <v>64.82</v>
      </c>
      <c r="I45" s="10">
        <v>0.92</v>
      </c>
      <c r="J45" s="18">
        <v>12.06</v>
      </c>
      <c r="K45" s="10">
        <v>0.17</v>
      </c>
      <c r="L45" s="18"/>
      <c r="M45" s="10"/>
      <c r="N45" s="19">
        <v>144.13</v>
      </c>
      <c r="O45" s="13">
        <v>2.04</v>
      </c>
    </row>
    <row r="46">
      <c r="A46" s="10" t="s">
        <v>15</v>
      </c>
      <c r="B46" s="18"/>
      <c r="C46" s="10"/>
      <c r="D46" s="18">
        <v>28.4</v>
      </c>
      <c r="E46" s="10">
        <v>0.4</v>
      </c>
      <c r="F46" s="18">
        <v>50.88</v>
      </c>
      <c r="G46" s="10">
        <v>0.72</v>
      </c>
      <c r="H46" s="18">
        <v>54.64</v>
      </c>
      <c r="I46" s="10">
        <v>0.77</v>
      </c>
      <c r="J46" s="18">
        <v>16.11</v>
      </c>
      <c r="K46" s="10">
        <v>0.23</v>
      </c>
      <c r="L46" s="18"/>
      <c r="M46" s="10"/>
      <c r="N46" s="19">
        <v>150.03</v>
      </c>
      <c r="O46" s="13">
        <v>2.12</v>
      </c>
    </row>
    <row r="47">
      <c r="A47" s="10" t="s">
        <v>16</v>
      </c>
      <c r="B47" s="18"/>
      <c r="C47" s="10"/>
      <c r="D47" s="18">
        <v>16.26</v>
      </c>
      <c r="E47" s="10">
        <v>0.23</v>
      </c>
      <c r="F47" s="18">
        <v>8.18</v>
      </c>
      <c r="G47" s="10">
        <v>0.12</v>
      </c>
      <c r="H47" s="18">
        <v>6.09</v>
      </c>
      <c r="I47" s="10">
        <v>0.09</v>
      </c>
      <c r="J47" s="18"/>
      <c r="K47" s="10"/>
      <c r="L47" s="18"/>
      <c r="M47" s="10"/>
      <c r="N47" s="19">
        <v>30.53</v>
      </c>
      <c r="O47" s="13">
        <v>0.44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0.03</v>
      </c>
      <c r="H48" s="18">
        <v>4.1</v>
      </c>
      <c r="I48" s="10">
        <v>0.06</v>
      </c>
      <c r="J48" s="18"/>
      <c r="K48" s="10"/>
      <c r="L48" s="18"/>
      <c r="M48" s="10"/>
      <c r="N48" s="19">
        <v>6.1</v>
      </c>
      <c r="O48" s="13">
        <v>0.09</v>
      </c>
    </row>
    <row r="49">
      <c r="A49" s="7" t="s">
        <v>26</v>
      </c>
      <c r="B49" s="19"/>
      <c r="C49" s="14"/>
      <c r="D49" s="17">
        <v>2.11</v>
      </c>
      <c r="E49" s="7">
        <v>0.03</v>
      </c>
      <c r="F49" s="19"/>
      <c r="G49" s="14"/>
      <c r="H49" s="17">
        <v>9.21</v>
      </c>
      <c r="I49" s="7">
        <v>0.12</v>
      </c>
      <c r="J49" s="19"/>
      <c r="K49" s="14"/>
      <c r="L49" s="19"/>
      <c r="M49" s="14"/>
      <c r="N49" s="17">
        <v>11.32</v>
      </c>
      <c r="O49" s="9">
        <v>0.15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4.51</v>
      </c>
      <c r="I50" s="10">
        <v>0.06</v>
      </c>
      <c r="J50" s="18"/>
      <c r="K50" s="10"/>
      <c r="L50" s="18"/>
      <c r="M50" s="10"/>
      <c r="N50" s="19">
        <v>4.51</v>
      </c>
      <c r="O50" s="13">
        <v>0.06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2.42</v>
      </c>
      <c r="I51" s="10">
        <v>0.03</v>
      </c>
      <c r="J51" s="18"/>
      <c r="K51" s="10"/>
      <c r="L51" s="18"/>
      <c r="M51" s="10"/>
      <c r="N51" s="19">
        <v>2.42</v>
      </c>
      <c r="O51" s="13">
        <v>0.03</v>
      </c>
    </row>
    <row r="52">
      <c r="A52" s="10" t="s">
        <v>16</v>
      </c>
      <c r="B52" s="18"/>
      <c r="C52" s="10"/>
      <c r="D52" s="18">
        <v>2.11</v>
      </c>
      <c r="E52" s="10">
        <v>0.03</v>
      </c>
      <c r="F52" s="18"/>
      <c r="G52" s="10"/>
      <c r="H52" s="18">
        <v>2.28</v>
      </c>
      <c r="I52" s="10">
        <v>0.03</v>
      </c>
      <c r="J52" s="18"/>
      <c r="K52" s="10"/>
      <c r="L52" s="18"/>
      <c r="M52" s="10"/>
      <c r="N52" s="19">
        <v>4.39</v>
      </c>
      <c r="O52" s="13">
        <v>0.06</v>
      </c>
    </row>
    <row r="53">
      <c r="A53" s="7" t="s">
        <v>27</v>
      </c>
      <c r="B53" s="19"/>
      <c r="C53" s="14"/>
      <c r="D53" s="17">
        <v>7.62</v>
      </c>
      <c r="E53" s="7">
        <v>0.11</v>
      </c>
      <c r="F53" s="17">
        <v>22.66</v>
      </c>
      <c r="G53" s="7">
        <v>0.32</v>
      </c>
      <c r="H53" s="17">
        <v>32.84</v>
      </c>
      <c r="I53" s="7">
        <v>0.48</v>
      </c>
      <c r="J53" s="17">
        <v>7.53</v>
      </c>
      <c r="K53" s="7">
        <v>0.11</v>
      </c>
      <c r="L53" s="19"/>
      <c r="M53" s="14"/>
      <c r="N53" s="17">
        <v>70.65</v>
      </c>
      <c r="O53" s="9">
        <v>1.02</v>
      </c>
    </row>
    <row r="54">
      <c r="A54" s="10" t="s">
        <v>13</v>
      </c>
      <c r="B54" s="18"/>
      <c r="C54" s="10"/>
      <c r="D54" s="18"/>
      <c r="E54" s="10"/>
      <c r="F54" s="18">
        <v>5.01</v>
      </c>
      <c r="G54" s="10">
        <v>0.07</v>
      </c>
      <c r="H54" s="18">
        <v>7.55</v>
      </c>
      <c r="I54" s="10">
        <v>0.11</v>
      </c>
      <c r="J54" s="18"/>
      <c r="K54" s="10"/>
      <c r="L54" s="18"/>
      <c r="M54" s="10"/>
      <c r="N54" s="19">
        <v>12.56</v>
      </c>
      <c r="O54" s="13">
        <v>0.18</v>
      </c>
    </row>
    <row r="55">
      <c r="A55" s="10" t="s">
        <v>14</v>
      </c>
      <c r="B55" s="18"/>
      <c r="C55" s="10"/>
      <c r="D55" s="18"/>
      <c r="E55" s="10"/>
      <c r="F55" s="18">
        <v>12.62</v>
      </c>
      <c r="G55" s="10">
        <v>0.18</v>
      </c>
      <c r="H55" s="18">
        <v>7.61</v>
      </c>
      <c r="I55" s="10">
        <v>0.11</v>
      </c>
      <c r="J55" s="18">
        <v>7.53</v>
      </c>
      <c r="K55" s="10">
        <v>0.11</v>
      </c>
      <c r="L55" s="18"/>
      <c r="M55" s="10"/>
      <c r="N55" s="19">
        <v>27.76</v>
      </c>
      <c r="O55" s="13">
        <v>0.4</v>
      </c>
    </row>
    <row r="56">
      <c r="A56" s="10" t="s">
        <v>15</v>
      </c>
      <c r="B56" s="18"/>
      <c r="C56" s="10"/>
      <c r="D56" s="18">
        <v>2.6</v>
      </c>
      <c r="E56" s="10">
        <v>0.04</v>
      </c>
      <c r="F56" s="18">
        <v>5.03</v>
      </c>
      <c r="G56" s="10">
        <v>0.07</v>
      </c>
      <c r="H56" s="18">
        <v>2.51</v>
      </c>
      <c r="I56" s="10">
        <v>0.04</v>
      </c>
      <c r="J56" s="18"/>
      <c r="K56" s="10"/>
      <c r="L56" s="18"/>
      <c r="M56" s="10"/>
      <c r="N56" s="19">
        <v>10.14</v>
      </c>
      <c r="O56" s="13">
        <v>0.15</v>
      </c>
    </row>
    <row r="57">
      <c r="A57" s="10" t="s">
        <v>16</v>
      </c>
      <c r="B57" s="18"/>
      <c r="C57" s="10"/>
      <c r="D57" s="18">
        <v>5.02</v>
      </c>
      <c r="E57" s="10">
        <v>0.07</v>
      </c>
      <c r="F57" s="18"/>
      <c r="G57" s="10"/>
      <c r="H57" s="18">
        <v>12.65</v>
      </c>
      <c r="I57" s="10">
        <v>0.18</v>
      </c>
      <c r="J57" s="18"/>
      <c r="K57" s="10"/>
      <c r="L57" s="18"/>
      <c r="M57" s="10"/>
      <c r="N57" s="19">
        <v>17.67</v>
      </c>
      <c r="O57" s="13">
        <v>0.25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2.52</v>
      </c>
      <c r="I58" s="10">
        <v>0.04</v>
      </c>
      <c r="J58" s="18"/>
      <c r="K58" s="10"/>
      <c r="L58" s="18"/>
      <c r="M58" s="10"/>
      <c r="N58" s="19">
        <v>2.52</v>
      </c>
      <c r="O58" s="13">
        <v>0.04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5.84</v>
      </c>
      <c r="I59" s="7">
        <v>0.08</v>
      </c>
      <c r="J59" s="19"/>
      <c r="K59" s="14"/>
      <c r="L59" s="19"/>
      <c r="M59" s="14"/>
      <c r="N59" s="17">
        <v>5.84</v>
      </c>
      <c r="O59" s="9">
        <v>0.08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2.92</v>
      </c>
      <c r="I60" s="10">
        <v>0.04</v>
      </c>
      <c r="J60" s="18"/>
      <c r="K60" s="10"/>
      <c r="L60" s="18"/>
      <c r="M60" s="10"/>
      <c r="N60" s="19">
        <v>2.92</v>
      </c>
      <c r="O60" s="13">
        <v>0.04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2.92</v>
      </c>
      <c r="I61" s="10">
        <v>0.04</v>
      </c>
      <c r="J61" s="18"/>
      <c r="K61" s="10"/>
      <c r="L61" s="18"/>
      <c r="M61" s="10"/>
      <c r="N61" s="19">
        <v>2.92</v>
      </c>
      <c r="O61" s="13">
        <v>0.04</v>
      </c>
    </row>
    <row r="62">
      <c r="A62" s="7" t="s">
        <v>29</v>
      </c>
      <c r="B62" s="19"/>
      <c r="C62" s="14"/>
      <c r="D62" s="17">
        <v>9.11</v>
      </c>
      <c r="E62" s="7">
        <v>0.13</v>
      </c>
      <c r="F62" s="17">
        <v>60.88</v>
      </c>
      <c r="G62" s="7">
        <v>0.86</v>
      </c>
      <c r="H62" s="17">
        <v>15.14</v>
      </c>
      <c r="I62" s="7">
        <v>0.21</v>
      </c>
      <c r="J62" s="17">
        <v>27.63</v>
      </c>
      <c r="K62" s="7">
        <v>0.39</v>
      </c>
      <c r="L62" s="19"/>
      <c r="M62" s="14"/>
      <c r="N62" s="17">
        <v>112.76</v>
      </c>
      <c r="O62" s="9">
        <v>1.59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3.05</v>
      </c>
      <c r="I63" s="10">
        <v>0.04</v>
      </c>
      <c r="J63" s="18"/>
      <c r="K63" s="10"/>
      <c r="L63" s="18"/>
      <c r="M63" s="10"/>
      <c r="N63" s="19">
        <v>3.05</v>
      </c>
      <c r="O63" s="13">
        <v>0.04</v>
      </c>
    </row>
    <row r="64">
      <c r="A64" s="10" t="s">
        <v>14</v>
      </c>
      <c r="B64" s="18"/>
      <c r="C64" s="10"/>
      <c r="D64" s="18"/>
      <c r="E64" s="10"/>
      <c r="F64" s="18">
        <v>15.17</v>
      </c>
      <c r="G64" s="10">
        <v>0.21</v>
      </c>
      <c r="H64" s="18">
        <v>3.07</v>
      </c>
      <c r="I64" s="10">
        <v>0.04</v>
      </c>
      <c r="J64" s="18">
        <v>9.27</v>
      </c>
      <c r="K64" s="10">
        <v>0.13</v>
      </c>
      <c r="L64" s="18"/>
      <c r="M64" s="10"/>
      <c r="N64" s="19">
        <v>27.51</v>
      </c>
      <c r="O64" s="13">
        <v>0.38</v>
      </c>
    </row>
    <row r="65">
      <c r="A65" s="10" t="s">
        <v>15</v>
      </c>
      <c r="B65" s="18"/>
      <c r="C65" s="10"/>
      <c r="D65" s="18">
        <v>3.02</v>
      </c>
      <c r="E65" s="10">
        <v>0.04</v>
      </c>
      <c r="F65" s="18">
        <v>33.64</v>
      </c>
      <c r="G65" s="10">
        <v>0.48</v>
      </c>
      <c r="H65" s="18">
        <v>6.02</v>
      </c>
      <c r="I65" s="10">
        <v>0.09</v>
      </c>
      <c r="J65" s="18">
        <v>6.15</v>
      </c>
      <c r="K65" s="10">
        <v>0.09</v>
      </c>
      <c r="L65" s="18"/>
      <c r="M65" s="10"/>
      <c r="N65" s="19">
        <v>48.83</v>
      </c>
      <c r="O65" s="13">
        <v>0.7</v>
      </c>
    </row>
    <row r="66">
      <c r="A66" s="10" t="s">
        <v>16</v>
      </c>
      <c r="B66" s="18"/>
      <c r="C66" s="10"/>
      <c r="D66" s="18">
        <v>6.09</v>
      </c>
      <c r="E66" s="10">
        <v>0.09</v>
      </c>
      <c r="F66" s="18">
        <v>9.04</v>
      </c>
      <c r="G66" s="10">
        <v>0.13</v>
      </c>
      <c r="H66" s="18">
        <v>3</v>
      </c>
      <c r="I66" s="10">
        <v>0.04</v>
      </c>
      <c r="J66" s="18">
        <v>12.21</v>
      </c>
      <c r="K66" s="10">
        <v>0.17</v>
      </c>
      <c r="L66" s="18"/>
      <c r="M66" s="10"/>
      <c r="N66" s="19">
        <v>30.34</v>
      </c>
      <c r="O66" s="13">
        <v>0.43</v>
      </c>
    </row>
    <row r="67">
      <c r="A67" s="10" t="s">
        <v>17</v>
      </c>
      <c r="B67" s="18"/>
      <c r="C67" s="10"/>
      <c r="D67" s="18"/>
      <c r="E67" s="10"/>
      <c r="F67" s="18">
        <v>3.03</v>
      </c>
      <c r="G67" s="10">
        <v>0.04</v>
      </c>
      <c r="H67" s="18"/>
      <c r="I67" s="10"/>
      <c r="J67" s="18"/>
      <c r="K67" s="10"/>
      <c r="L67" s="18"/>
      <c r="M67" s="10"/>
      <c r="N67" s="19">
        <v>3.03</v>
      </c>
      <c r="O67" s="13">
        <v>0.04</v>
      </c>
    </row>
    <row r="68">
      <c r="A68" s="7" t="s">
        <v>30</v>
      </c>
      <c r="B68" s="19"/>
      <c r="C68" s="14"/>
      <c r="D68" s="19"/>
      <c r="E68" s="14"/>
      <c r="F68" s="17">
        <v>7.04</v>
      </c>
      <c r="G68" s="7">
        <v>0.1</v>
      </c>
      <c r="H68" s="17">
        <v>17.77</v>
      </c>
      <c r="I68" s="7">
        <v>0.25</v>
      </c>
      <c r="J68" s="17">
        <v>3.54</v>
      </c>
      <c r="K68" s="7">
        <v>0.05</v>
      </c>
      <c r="L68" s="19"/>
      <c r="M68" s="14"/>
      <c r="N68" s="17">
        <v>28.35</v>
      </c>
      <c r="O68" s="9">
        <v>0.4</v>
      </c>
    </row>
    <row r="69">
      <c r="A69" s="10" t="s">
        <v>13</v>
      </c>
      <c r="B69" s="18"/>
      <c r="C69" s="10"/>
      <c r="D69" s="18"/>
      <c r="E69" s="10"/>
      <c r="F69" s="18">
        <v>3.51</v>
      </c>
      <c r="G69" s="10">
        <v>0.05</v>
      </c>
      <c r="H69" s="18">
        <v>3.53</v>
      </c>
      <c r="I69" s="10">
        <v>0.05</v>
      </c>
      <c r="J69" s="18"/>
      <c r="K69" s="10"/>
      <c r="L69" s="18"/>
      <c r="M69" s="10"/>
      <c r="N69" s="19">
        <v>7.04</v>
      </c>
      <c r="O69" s="13">
        <v>0.1</v>
      </c>
    </row>
    <row r="70">
      <c r="A70" s="10" t="s">
        <v>14</v>
      </c>
      <c r="B70" s="18"/>
      <c r="C70" s="10"/>
      <c r="D70" s="18"/>
      <c r="E70" s="10"/>
      <c r="F70" s="18">
        <v>3.53</v>
      </c>
      <c r="G70" s="10">
        <v>0.05</v>
      </c>
      <c r="H70" s="18">
        <v>10.7</v>
      </c>
      <c r="I70" s="10">
        <v>0.15</v>
      </c>
      <c r="J70" s="18">
        <v>3.54</v>
      </c>
      <c r="K70" s="10">
        <v>0.05</v>
      </c>
      <c r="L70" s="18"/>
      <c r="M70" s="10"/>
      <c r="N70" s="19">
        <v>17.77</v>
      </c>
      <c r="O70" s="13">
        <v>0.25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3.54</v>
      </c>
      <c r="I71" s="10">
        <v>0.05</v>
      </c>
      <c r="J71" s="18"/>
      <c r="K71" s="10"/>
      <c r="L71" s="18"/>
      <c r="M71" s="10"/>
      <c r="N71" s="19">
        <v>3.54</v>
      </c>
      <c r="O71" s="13">
        <v>0.05</v>
      </c>
    </row>
    <row r="72">
      <c r="A72" s="7" t="s">
        <v>31</v>
      </c>
      <c r="B72" s="19"/>
      <c r="C72" s="14"/>
      <c r="D72" s="19"/>
      <c r="E72" s="14"/>
      <c r="F72" s="17">
        <v>4.1</v>
      </c>
      <c r="G72" s="7">
        <v>0.06</v>
      </c>
      <c r="H72" s="19"/>
      <c r="I72" s="14"/>
      <c r="J72" s="17">
        <v>8.04</v>
      </c>
      <c r="K72" s="7">
        <v>0.12</v>
      </c>
      <c r="L72" s="19"/>
      <c r="M72" s="14"/>
      <c r="N72" s="17">
        <v>12.14</v>
      </c>
      <c r="O72" s="9">
        <v>0.18</v>
      </c>
    </row>
    <row r="73">
      <c r="A73" s="10" t="s">
        <v>14</v>
      </c>
      <c r="B73" s="18"/>
      <c r="C73" s="10"/>
      <c r="D73" s="18"/>
      <c r="E73" s="10"/>
      <c r="F73" s="18">
        <v>4.1</v>
      </c>
      <c r="G73" s="10">
        <v>0.06</v>
      </c>
      <c r="H73" s="18"/>
      <c r="I73" s="10"/>
      <c r="J73" s="18">
        <v>4.01</v>
      </c>
      <c r="K73" s="10">
        <v>0.06</v>
      </c>
      <c r="L73" s="18"/>
      <c r="M73" s="10"/>
      <c r="N73" s="19">
        <v>8.11</v>
      </c>
      <c r="O73" s="13">
        <v>0.12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4.03</v>
      </c>
      <c r="K74" s="10">
        <v>0.06</v>
      </c>
      <c r="L74" s="18"/>
      <c r="M74" s="10"/>
      <c r="N74" s="19">
        <v>4.03</v>
      </c>
      <c r="O74" s="13">
        <v>0.06</v>
      </c>
    </row>
    <row r="75">
      <c r="A75" s="7" t="s">
        <v>32</v>
      </c>
      <c r="B75" s="19"/>
      <c r="C75" s="14"/>
      <c r="D75" s="19"/>
      <c r="E75" s="14"/>
      <c r="F75" s="17">
        <v>5.01</v>
      </c>
      <c r="G75" s="7">
        <v>0.07</v>
      </c>
      <c r="H75" s="17">
        <v>15.15</v>
      </c>
      <c r="I75" s="7">
        <v>0.21</v>
      </c>
      <c r="J75" s="17">
        <v>5.02</v>
      </c>
      <c r="K75" s="7">
        <v>0.07</v>
      </c>
      <c r="L75" s="19"/>
      <c r="M75" s="14"/>
      <c r="N75" s="17">
        <v>25.18</v>
      </c>
      <c r="O75" s="9">
        <v>0.35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15.15</v>
      </c>
      <c r="I76" s="10">
        <v>0.21</v>
      </c>
      <c r="J76" s="18"/>
      <c r="K76" s="10"/>
      <c r="L76" s="18"/>
      <c r="M76" s="10"/>
      <c r="N76" s="19">
        <v>15.15</v>
      </c>
      <c r="O76" s="13">
        <v>0.21</v>
      </c>
    </row>
    <row r="77">
      <c r="A77" s="10" t="s">
        <v>15</v>
      </c>
      <c r="B77" s="18"/>
      <c r="C77" s="10"/>
      <c r="D77" s="18"/>
      <c r="E77" s="10"/>
      <c r="F77" s="18">
        <v>5.01</v>
      </c>
      <c r="G77" s="10">
        <v>0.07</v>
      </c>
      <c r="H77" s="18"/>
      <c r="I77" s="10"/>
      <c r="J77" s="18"/>
      <c r="K77" s="10"/>
      <c r="L77" s="18"/>
      <c r="M77" s="10"/>
      <c r="N77" s="19">
        <v>5.01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5.02</v>
      </c>
      <c r="K78" s="10">
        <v>0.07</v>
      </c>
      <c r="L78" s="18"/>
      <c r="M78" s="10"/>
      <c r="N78" s="19">
        <v>5.02</v>
      </c>
      <c r="O78" s="13">
        <v>0.07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6.22</v>
      </c>
      <c r="I79" s="7">
        <v>0.09</v>
      </c>
      <c r="J79" s="19"/>
      <c r="K79" s="14"/>
      <c r="L79" s="19"/>
      <c r="M79" s="14"/>
      <c r="N79" s="17">
        <v>6.22</v>
      </c>
      <c r="O79" s="9">
        <v>0.09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6.22</v>
      </c>
      <c r="I80" s="10">
        <v>0.09</v>
      </c>
      <c r="J80" s="18"/>
      <c r="K80" s="10"/>
      <c r="L80" s="18"/>
      <c r="M80" s="10"/>
      <c r="N80" s="19">
        <v>6.22</v>
      </c>
      <c r="O80" s="13">
        <v>0.09</v>
      </c>
    </row>
    <row r="81">
      <c r="A81" s="15" t="s">
        <v>11</v>
      </c>
      <c r="B81" s="20">
        <v>84.96</v>
      </c>
      <c r="C81" s="15">
        <v>1.2</v>
      </c>
      <c r="D81" s="20">
        <v>1934.063</v>
      </c>
      <c r="E81" s="15">
        <v>27.36</v>
      </c>
      <c r="F81" s="20">
        <v>3545.712</v>
      </c>
      <c r="G81" s="15">
        <v>50.14</v>
      </c>
      <c r="H81" s="20">
        <v>1053.91</v>
      </c>
      <c r="I81" s="15">
        <v>14.91</v>
      </c>
      <c r="J81" s="20">
        <v>438.46</v>
      </c>
      <c r="K81" s="15">
        <v>6.19</v>
      </c>
      <c r="L81" s="20">
        <v>15.66</v>
      </c>
      <c r="M81" s="15">
        <v>0.21</v>
      </c>
      <c r="N81" s="20">
        <v>7072.765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2.4192600250244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36</v>
      </c>
      <c r="B1" s="2" t="s">
        <v>36</v>
      </c>
      <c r="C1" s="2" t="s">
        <v>36</v>
      </c>
      <c r="D1" s="2" t="s">
        <v>36</v>
      </c>
      <c r="E1" s="2" t="s">
        <v>36</v>
      </c>
      <c r="F1" s="2" t="s">
        <v>36</v>
      </c>
      <c r="G1" s="2" t="s">
        <v>36</v>
      </c>
      <c r="H1" s="2" t="s">
        <v>36</v>
      </c>
      <c r="I1" s="2" t="s">
        <v>36</v>
      </c>
      <c r="J1" s="2" t="s">
        <v>36</v>
      </c>
      <c r="K1" s="2" t="s">
        <v>36</v>
      </c>
      <c r="L1" s="2" t="s">
        <v>36</v>
      </c>
      <c r="M1" s="2" t="s">
        <v>36</v>
      </c>
      <c r="N1" s="2" t="s">
        <v>36</v>
      </c>
      <c r="O1" s="2" t="s">
        <v>36</v>
      </c>
    </row>
    <row r="2">
      <c r="A2" s="3" t="s">
        <v>1</v>
      </c>
      <c r="B2" s="4" t="s">
        <v>37</v>
      </c>
      <c r="C2" s="4" t="s">
        <v>3</v>
      </c>
      <c r="D2" s="4" t="s">
        <v>37</v>
      </c>
      <c r="E2" s="4" t="s">
        <v>3</v>
      </c>
      <c r="F2" s="4" t="s">
        <v>37</v>
      </c>
      <c r="G2" s="4" t="s">
        <v>3</v>
      </c>
      <c r="H2" s="4" t="s">
        <v>37</v>
      </c>
      <c r="I2" s="4" t="s">
        <v>3</v>
      </c>
      <c r="J2" s="4" t="s">
        <v>37</v>
      </c>
      <c r="K2" s="4" t="s">
        <v>3</v>
      </c>
      <c r="L2" s="4" t="s">
        <v>37</v>
      </c>
      <c r="M2" s="4" t="s">
        <v>3</v>
      </c>
      <c r="N2" s="4" t="s">
        <v>37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8707.55</v>
      </c>
      <c r="C4" s="7">
        <v>1.31</v>
      </c>
      <c r="D4" s="17">
        <v>89565.44</v>
      </c>
      <c r="E4" s="7">
        <v>13.44</v>
      </c>
      <c r="F4" s="17">
        <v>140650.19</v>
      </c>
      <c r="G4" s="7">
        <v>21.11</v>
      </c>
      <c r="H4" s="17">
        <v>20454.77</v>
      </c>
      <c r="I4" s="7">
        <v>3.08</v>
      </c>
      <c r="J4" s="17">
        <v>17670.41</v>
      </c>
      <c r="K4" s="7">
        <v>2.66</v>
      </c>
      <c r="L4" s="17">
        <v>265.62</v>
      </c>
      <c r="M4" s="7">
        <v>0.04</v>
      </c>
      <c r="N4" s="17">
        <v>277313.98</v>
      </c>
      <c r="O4" s="9">
        <v>41.64</v>
      </c>
    </row>
    <row r="5">
      <c r="A5" s="10" t="s">
        <v>13</v>
      </c>
      <c r="B5" s="18">
        <v>3385.22</v>
      </c>
      <c r="C5" s="10">
        <v>0.51</v>
      </c>
      <c r="D5" s="18">
        <v>29347.1</v>
      </c>
      <c r="E5" s="10">
        <v>4.4</v>
      </c>
      <c r="F5" s="18">
        <v>67275.42</v>
      </c>
      <c r="G5" s="10">
        <v>10.1</v>
      </c>
      <c r="H5" s="18">
        <v>9513.71</v>
      </c>
      <c r="I5" s="10">
        <v>1.43</v>
      </c>
      <c r="J5" s="18">
        <v>5184.27</v>
      </c>
      <c r="K5" s="10">
        <v>0.78</v>
      </c>
      <c r="L5" s="18">
        <v>66.66</v>
      </c>
      <c r="M5" s="10">
        <v>0.01</v>
      </c>
      <c r="N5" s="19">
        <v>114772.38</v>
      </c>
      <c r="O5" s="13">
        <v>17.23</v>
      </c>
    </row>
    <row r="6">
      <c r="A6" s="10" t="s">
        <v>14</v>
      </c>
      <c r="B6" s="18">
        <v>2913.06</v>
      </c>
      <c r="C6" s="10">
        <v>0.44</v>
      </c>
      <c r="D6" s="18">
        <v>33902.95</v>
      </c>
      <c r="E6" s="10">
        <v>5.09</v>
      </c>
      <c r="F6" s="18">
        <v>43542.79</v>
      </c>
      <c r="G6" s="10">
        <v>6.53</v>
      </c>
      <c r="H6" s="18">
        <v>5364.7</v>
      </c>
      <c r="I6" s="10">
        <v>0.81</v>
      </c>
      <c r="J6" s="18">
        <v>9782.24</v>
      </c>
      <c r="K6" s="10">
        <v>1.47</v>
      </c>
      <c r="L6" s="18">
        <v>132.66</v>
      </c>
      <c r="M6" s="10">
        <v>0.02</v>
      </c>
      <c r="N6" s="19">
        <v>95638.4</v>
      </c>
      <c r="O6" s="13">
        <v>14.36</v>
      </c>
    </row>
    <row r="7">
      <c r="A7" s="10" t="s">
        <v>15</v>
      </c>
      <c r="B7" s="18">
        <v>1950.07</v>
      </c>
      <c r="C7" s="10">
        <v>0.29</v>
      </c>
      <c r="D7" s="18">
        <v>22251.91</v>
      </c>
      <c r="E7" s="10">
        <v>3.34</v>
      </c>
      <c r="F7" s="18">
        <v>27571.5</v>
      </c>
      <c r="G7" s="10">
        <v>4.14</v>
      </c>
      <c r="H7" s="18">
        <v>5037.62</v>
      </c>
      <c r="I7" s="10">
        <v>0.76</v>
      </c>
      <c r="J7" s="18">
        <v>2330.62</v>
      </c>
      <c r="K7" s="10">
        <v>0.35</v>
      </c>
      <c r="L7" s="18">
        <v>66.3</v>
      </c>
      <c r="M7" s="10">
        <v>0.01</v>
      </c>
      <c r="N7" s="19">
        <v>59208.02</v>
      </c>
      <c r="O7" s="13">
        <v>8.89</v>
      </c>
    </row>
    <row r="8">
      <c r="A8" s="10" t="s">
        <v>16</v>
      </c>
      <c r="B8" s="18">
        <v>459.2</v>
      </c>
      <c r="C8" s="10">
        <v>0.07</v>
      </c>
      <c r="D8" s="18">
        <v>3641.62</v>
      </c>
      <c r="E8" s="10">
        <v>0.55</v>
      </c>
      <c r="F8" s="18">
        <v>1879.6</v>
      </c>
      <c r="G8" s="10">
        <v>0.28</v>
      </c>
      <c r="H8" s="18">
        <v>538.74</v>
      </c>
      <c r="I8" s="10">
        <v>0.08</v>
      </c>
      <c r="J8" s="18">
        <v>373.28</v>
      </c>
      <c r="K8" s="10">
        <v>0.06</v>
      </c>
      <c r="L8" s="18"/>
      <c r="M8" s="10"/>
      <c r="N8" s="19">
        <v>6892.44</v>
      </c>
      <c r="O8" s="13">
        <v>1.04</v>
      </c>
    </row>
    <row r="9">
      <c r="A9" s="10" t="s">
        <v>17</v>
      </c>
      <c r="B9" s="18"/>
      <c r="C9" s="10"/>
      <c r="D9" s="18">
        <v>421.86</v>
      </c>
      <c r="E9" s="10">
        <v>0.06</v>
      </c>
      <c r="F9" s="18">
        <v>380.88</v>
      </c>
      <c r="G9" s="10">
        <v>0.06</v>
      </c>
      <c r="H9" s="18"/>
      <c r="I9" s="10"/>
      <c r="J9" s="18"/>
      <c r="K9" s="10"/>
      <c r="L9" s="18"/>
      <c r="M9" s="10"/>
      <c r="N9" s="19">
        <v>802.74</v>
      </c>
      <c r="O9" s="13">
        <v>0.12</v>
      </c>
    </row>
    <row r="10">
      <c r="A10" s="7" t="s">
        <v>18</v>
      </c>
      <c r="B10" s="19"/>
      <c r="C10" s="14"/>
      <c r="D10" s="17">
        <v>1703.96</v>
      </c>
      <c r="E10" s="7">
        <v>0.25</v>
      </c>
      <c r="F10" s="17">
        <v>3674.89</v>
      </c>
      <c r="G10" s="7">
        <v>0.55</v>
      </c>
      <c r="H10" s="17">
        <v>1927.26</v>
      </c>
      <c r="I10" s="7">
        <v>0.29</v>
      </c>
      <c r="J10" s="17">
        <v>355.62</v>
      </c>
      <c r="K10" s="7">
        <v>0.05</v>
      </c>
      <c r="L10" s="19"/>
      <c r="M10" s="14"/>
      <c r="N10" s="17">
        <v>7661.73</v>
      </c>
      <c r="O10" s="9">
        <v>1.14</v>
      </c>
    </row>
    <row r="11">
      <c r="A11" s="10" t="s">
        <v>13</v>
      </c>
      <c r="B11" s="18"/>
      <c r="C11" s="10"/>
      <c r="D11" s="18">
        <v>329.67</v>
      </c>
      <c r="E11" s="10">
        <v>0.05</v>
      </c>
      <c r="F11" s="18">
        <v>198.24</v>
      </c>
      <c r="G11" s="10">
        <v>0.03</v>
      </c>
      <c r="H11" s="18">
        <v>310.09</v>
      </c>
      <c r="I11" s="10">
        <v>0.05</v>
      </c>
      <c r="J11" s="18"/>
      <c r="K11" s="10"/>
      <c r="L11" s="18"/>
      <c r="M11" s="10"/>
      <c r="N11" s="19">
        <v>838</v>
      </c>
      <c r="O11" s="13">
        <v>0.13</v>
      </c>
    </row>
    <row r="12">
      <c r="A12" s="10" t="s">
        <v>14</v>
      </c>
      <c r="B12" s="18"/>
      <c r="C12" s="10"/>
      <c r="D12" s="18">
        <v>319.68</v>
      </c>
      <c r="E12" s="10">
        <v>0.05</v>
      </c>
      <c r="F12" s="18">
        <v>2544.45</v>
      </c>
      <c r="G12" s="10">
        <v>0.38</v>
      </c>
      <c r="H12" s="18">
        <v>1197.98</v>
      </c>
      <c r="I12" s="10">
        <v>0.18</v>
      </c>
      <c r="J12" s="18">
        <v>355.62</v>
      </c>
      <c r="K12" s="10">
        <v>0.05</v>
      </c>
      <c r="L12" s="18"/>
      <c r="M12" s="10"/>
      <c r="N12" s="19">
        <v>4417.73</v>
      </c>
      <c r="O12" s="13">
        <v>0.66</v>
      </c>
    </row>
    <row r="13">
      <c r="A13" s="10" t="s">
        <v>15</v>
      </c>
      <c r="B13" s="18"/>
      <c r="C13" s="10"/>
      <c r="D13" s="18">
        <v>871.73</v>
      </c>
      <c r="E13" s="10">
        <v>0.13</v>
      </c>
      <c r="F13" s="18">
        <v>844.45</v>
      </c>
      <c r="G13" s="10">
        <v>0.13</v>
      </c>
      <c r="H13" s="18">
        <v>419.19</v>
      </c>
      <c r="I13" s="10">
        <v>0.06</v>
      </c>
      <c r="J13" s="18"/>
      <c r="K13" s="10"/>
      <c r="L13" s="18"/>
      <c r="M13" s="10"/>
      <c r="N13" s="19">
        <v>2135.37</v>
      </c>
      <c r="O13" s="13">
        <v>0.32</v>
      </c>
    </row>
    <row r="14">
      <c r="A14" s="10" t="s">
        <v>16</v>
      </c>
      <c r="B14" s="18"/>
      <c r="C14" s="10"/>
      <c r="D14" s="18">
        <v>94.08</v>
      </c>
      <c r="E14" s="10">
        <v>0.01</v>
      </c>
      <c r="F14" s="18">
        <v>87.75</v>
      </c>
      <c r="G14" s="10">
        <v>0.01</v>
      </c>
      <c r="H14" s="18"/>
      <c r="I14" s="10"/>
      <c r="J14" s="18"/>
      <c r="K14" s="10"/>
      <c r="L14" s="18"/>
      <c r="M14" s="10"/>
      <c r="N14" s="19">
        <v>181.83</v>
      </c>
      <c r="O14" s="13">
        <v>0.02</v>
      </c>
    </row>
    <row r="15">
      <c r="A15" s="10" t="s">
        <v>17</v>
      </c>
      <c r="B15" s="18"/>
      <c r="C15" s="10"/>
      <c r="D15" s="18">
        <v>88.8</v>
      </c>
      <c r="E15" s="10">
        <v>0.01</v>
      </c>
      <c r="F15" s="18"/>
      <c r="G15" s="10"/>
      <c r="H15" s="18"/>
      <c r="I15" s="10"/>
      <c r="J15" s="18"/>
      <c r="K15" s="10"/>
      <c r="L15" s="18"/>
      <c r="M15" s="10"/>
      <c r="N15" s="19">
        <v>88.8</v>
      </c>
      <c r="O15" s="13">
        <v>0.01</v>
      </c>
    </row>
    <row r="16">
      <c r="A16" s="7" t="s">
        <v>19</v>
      </c>
      <c r="B16" s="17">
        <v>1268.1</v>
      </c>
      <c r="C16" s="7">
        <v>0.19</v>
      </c>
      <c r="D16" s="17">
        <v>19724.63</v>
      </c>
      <c r="E16" s="7">
        <v>2.95</v>
      </c>
      <c r="F16" s="17">
        <v>16863.1</v>
      </c>
      <c r="G16" s="7">
        <v>2.54</v>
      </c>
      <c r="H16" s="17">
        <v>6216.23</v>
      </c>
      <c r="I16" s="7">
        <v>0.93</v>
      </c>
      <c r="J16" s="17">
        <v>2033.38</v>
      </c>
      <c r="K16" s="7">
        <v>0.3</v>
      </c>
      <c r="L16" s="17">
        <v>164.91</v>
      </c>
      <c r="M16" s="7">
        <v>0.02</v>
      </c>
      <c r="N16" s="17">
        <v>46270.35</v>
      </c>
      <c r="O16" s="9">
        <v>6.93</v>
      </c>
    </row>
    <row r="17">
      <c r="A17" s="10" t="s">
        <v>13</v>
      </c>
      <c r="B17" s="18">
        <v>673.2</v>
      </c>
      <c r="C17" s="10">
        <v>0.1</v>
      </c>
      <c r="D17" s="18">
        <v>4155.9</v>
      </c>
      <c r="E17" s="10">
        <v>0.62</v>
      </c>
      <c r="F17" s="18">
        <v>2820.34</v>
      </c>
      <c r="G17" s="10">
        <v>0.42</v>
      </c>
      <c r="H17" s="18">
        <v>2229.08</v>
      </c>
      <c r="I17" s="10">
        <v>0.33</v>
      </c>
      <c r="J17" s="18">
        <v>617.76</v>
      </c>
      <c r="K17" s="10">
        <v>0.09</v>
      </c>
      <c r="L17" s="18">
        <v>83.64</v>
      </c>
      <c r="M17" s="10">
        <v>0.01</v>
      </c>
      <c r="N17" s="19">
        <v>10579.92</v>
      </c>
      <c r="O17" s="13">
        <v>1.57</v>
      </c>
    </row>
    <row r="18">
      <c r="A18" s="10" t="s">
        <v>14</v>
      </c>
      <c r="B18" s="18">
        <v>406.4</v>
      </c>
      <c r="C18" s="10">
        <v>0.06</v>
      </c>
      <c r="D18" s="18">
        <v>7368.96</v>
      </c>
      <c r="E18" s="10">
        <v>1.11</v>
      </c>
      <c r="F18" s="18">
        <v>2502.41</v>
      </c>
      <c r="G18" s="10">
        <v>0.38</v>
      </c>
      <c r="H18" s="18">
        <v>2156.61</v>
      </c>
      <c r="I18" s="10">
        <v>0.32</v>
      </c>
      <c r="J18" s="18">
        <v>350.74</v>
      </c>
      <c r="K18" s="10">
        <v>0.05</v>
      </c>
      <c r="L18" s="18"/>
      <c r="M18" s="10"/>
      <c r="N18" s="19">
        <v>12785.12</v>
      </c>
      <c r="O18" s="13">
        <v>1.92</v>
      </c>
    </row>
    <row r="19">
      <c r="A19" s="10" t="s">
        <v>15</v>
      </c>
      <c r="B19" s="18">
        <v>188.5</v>
      </c>
      <c r="C19" s="10">
        <v>0.03</v>
      </c>
      <c r="D19" s="18">
        <v>6408.72</v>
      </c>
      <c r="E19" s="10">
        <v>0.96</v>
      </c>
      <c r="F19" s="18">
        <v>10096.67</v>
      </c>
      <c r="G19" s="10">
        <v>1.52</v>
      </c>
      <c r="H19" s="18">
        <v>1653.75</v>
      </c>
      <c r="I19" s="10">
        <v>0.25</v>
      </c>
      <c r="J19" s="18">
        <v>1064.88</v>
      </c>
      <c r="K19" s="10">
        <v>0.16</v>
      </c>
      <c r="L19" s="18">
        <v>81.27</v>
      </c>
      <c r="M19" s="10">
        <v>0.01</v>
      </c>
      <c r="N19" s="19">
        <v>19493.79</v>
      </c>
      <c r="O19" s="13">
        <v>2.93</v>
      </c>
    </row>
    <row r="20">
      <c r="A20" s="10" t="s">
        <v>16</v>
      </c>
      <c r="B20" s="18"/>
      <c r="C20" s="10"/>
      <c r="D20" s="18">
        <v>1283.98</v>
      </c>
      <c r="E20" s="10">
        <v>0.19</v>
      </c>
      <c r="F20" s="18">
        <v>1443.68</v>
      </c>
      <c r="G20" s="10">
        <v>0.22</v>
      </c>
      <c r="H20" s="18">
        <v>176.79</v>
      </c>
      <c r="I20" s="10">
        <v>0.03</v>
      </c>
      <c r="J20" s="18"/>
      <c r="K20" s="10"/>
      <c r="L20" s="18"/>
      <c r="M20" s="10"/>
      <c r="N20" s="19">
        <v>2904.45</v>
      </c>
      <c r="O20" s="13">
        <v>0.44</v>
      </c>
    </row>
    <row r="21">
      <c r="A21" s="10" t="s">
        <v>17</v>
      </c>
      <c r="B21" s="18"/>
      <c r="C21" s="10"/>
      <c r="D21" s="18">
        <v>411.48</v>
      </c>
      <c r="E21" s="10">
        <v>0.06</v>
      </c>
      <c r="F21" s="18"/>
      <c r="G21" s="10"/>
      <c r="H21" s="18"/>
      <c r="I21" s="10"/>
      <c r="J21" s="18"/>
      <c r="K21" s="10"/>
      <c r="L21" s="18"/>
      <c r="M21" s="10"/>
      <c r="N21" s="19">
        <v>411.48</v>
      </c>
      <c r="O21" s="13">
        <v>0.06</v>
      </c>
    </row>
    <row r="22">
      <c r="A22" s="10" t="s">
        <v>20</v>
      </c>
      <c r="B22" s="18"/>
      <c r="C22" s="10"/>
      <c r="D22" s="18">
        <v>95.59</v>
      </c>
      <c r="E22" s="10">
        <v>0.01</v>
      </c>
      <c r="F22" s="18"/>
      <c r="G22" s="10"/>
      <c r="H22" s="18"/>
      <c r="I22" s="10"/>
      <c r="J22" s="18"/>
      <c r="K22" s="10"/>
      <c r="L22" s="18"/>
      <c r="M22" s="10"/>
      <c r="N22" s="19">
        <v>95.59</v>
      </c>
      <c r="O22" s="13">
        <v>0.01</v>
      </c>
    </row>
    <row r="23">
      <c r="A23" s="7" t="s">
        <v>21</v>
      </c>
      <c r="B23" s="19"/>
      <c r="C23" s="14"/>
      <c r="D23" s="17">
        <v>594.75</v>
      </c>
      <c r="E23" s="7">
        <v>0.09</v>
      </c>
      <c r="F23" s="17">
        <v>553.58</v>
      </c>
      <c r="G23" s="7">
        <v>0.08</v>
      </c>
      <c r="H23" s="17">
        <v>111.75</v>
      </c>
      <c r="I23" s="7">
        <v>0.02</v>
      </c>
      <c r="J23" s="17">
        <v>1410.56</v>
      </c>
      <c r="K23" s="7">
        <v>0.22</v>
      </c>
      <c r="L23" s="19"/>
      <c r="M23" s="14"/>
      <c r="N23" s="17">
        <v>2670.64</v>
      </c>
      <c r="O23" s="9">
        <v>0.41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111.75</v>
      </c>
      <c r="I24" s="10">
        <v>0.02</v>
      </c>
      <c r="J24" s="18">
        <v>108.77</v>
      </c>
      <c r="K24" s="10">
        <v>0.02</v>
      </c>
      <c r="L24" s="18"/>
      <c r="M24" s="10"/>
      <c r="N24" s="19">
        <v>220.52</v>
      </c>
      <c r="O24" s="13">
        <v>0.04</v>
      </c>
    </row>
    <row r="25">
      <c r="A25" s="10" t="s">
        <v>14</v>
      </c>
      <c r="B25" s="18"/>
      <c r="C25" s="10"/>
      <c r="D25" s="18">
        <v>253.8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253.8</v>
      </c>
      <c r="O25" s="13">
        <v>0.04</v>
      </c>
    </row>
    <row r="26">
      <c r="A26" s="10" t="s">
        <v>15</v>
      </c>
      <c r="B26" s="18"/>
      <c r="C26" s="10"/>
      <c r="D26" s="18">
        <v>111.35</v>
      </c>
      <c r="E26" s="10">
        <v>0.02</v>
      </c>
      <c r="F26" s="18">
        <v>553.58</v>
      </c>
      <c r="G26" s="10">
        <v>0.08</v>
      </c>
      <c r="H26" s="18"/>
      <c r="I26" s="10"/>
      <c r="J26" s="18">
        <v>1301.79</v>
      </c>
      <c r="K26" s="10">
        <v>0.2</v>
      </c>
      <c r="L26" s="18"/>
      <c r="M26" s="10"/>
      <c r="N26" s="19">
        <v>1966.72</v>
      </c>
      <c r="O26" s="13">
        <v>0.3</v>
      </c>
    </row>
    <row r="27">
      <c r="A27" s="10" t="s">
        <v>16</v>
      </c>
      <c r="B27" s="18"/>
      <c r="C27" s="10"/>
      <c r="D27" s="18">
        <v>229.6</v>
      </c>
      <c r="E27" s="10">
        <v>0.03</v>
      </c>
      <c r="F27" s="18"/>
      <c r="G27" s="10"/>
      <c r="H27" s="18"/>
      <c r="I27" s="10"/>
      <c r="J27" s="18"/>
      <c r="K27" s="10"/>
      <c r="L27" s="18"/>
      <c r="M27" s="10"/>
      <c r="N27" s="19">
        <v>229.6</v>
      </c>
      <c r="O27" s="13">
        <v>0.03</v>
      </c>
    </row>
    <row r="28">
      <c r="A28" s="7" t="s">
        <v>22</v>
      </c>
      <c r="B28" s="17">
        <v>3885.1</v>
      </c>
      <c r="C28" s="7">
        <v>0.58</v>
      </c>
      <c r="D28" s="17">
        <v>66090.82</v>
      </c>
      <c r="E28" s="7">
        <v>9.92</v>
      </c>
      <c r="F28" s="17">
        <v>136377.26</v>
      </c>
      <c r="G28" s="7">
        <v>20.46</v>
      </c>
      <c r="H28" s="17">
        <v>42258.96</v>
      </c>
      <c r="I28" s="7">
        <v>6.35</v>
      </c>
      <c r="J28" s="17">
        <v>9608.42</v>
      </c>
      <c r="K28" s="7">
        <v>1.44</v>
      </c>
      <c r="L28" s="17">
        <v>621.74</v>
      </c>
      <c r="M28" s="7">
        <v>0.1</v>
      </c>
      <c r="N28" s="17">
        <v>258842.3</v>
      </c>
      <c r="O28" s="9">
        <v>38.85</v>
      </c>
    </row>
    <row r="29">
      <c r="A29" s="10" t="s">
        <v>13</v>
      </c>
      <c r="B29" s="18">
        <v>712.05</v>
      </c>
      <c r="C29" s="10">
        <v>0.11</v>
      </c>
      <c r="D29" s="18">
        <v>21434.28</v>
      </c>
      <c r="E29" s="10">
        <v>3.22</v>
      </c>
      <c r="F29" s="18">
        <v>46306.43</v>
      </c>
      <c r="G29" s="10">
        <v>6.95</v>
      </c>
      <c r="H29" s="18">
        <v>8658.43</v>
      </c>
      <c r="I29" s="10">
        <v>1.3</v>
      </c>
      <c r="J29" s="18">
        <v>3548.02</v>
      </c>
      <c r="K29" s="10">
        <v>0.53</v>
      </c>
      <c r="L29" s="18">
        <v>210</v>
      </c>
      <c r="M29" s="10">
        <v>0.03</v>
      </c>
      <c r="N29" s="19">
        <v>80869.21</v>
      </c>
      <c r="O29" s="13">
        <v>12.14</v>
      </c>
    </row>
    <row r="30">
      <c r="A30" s="10" t="s">
        <v>14</v>
      </c>
      <c r="B30" s="18">
        <v>2142</v>
      </c>
      <c r="C30" s="10">
        <v>0.32</v>
      </c>
      <c r="D30" s="18">
        <v>21604.91</v>
      </c>
      <c r="E30" s="10">
        <v>3.24</v>
      </c>
      <c r="F30" s="18">
        <v>49816.35</v>
      </c>
      <c r="G30" s="10">
        <v>7.48</v>
      </c>
      <c r="H30" s="18">
        <v>18863.86</v>
      </c>
      <c r="I30" s="10">
        <v>2.83</v>
      </c>
      <c r="J30" s="18">
        <v>2208.19</v>
      </c>
      <c r="K30" s="10">
        <v>0.33</v>
      </c>
      <c r="L30" s="18">
        <v>208.08</v>
      </c>
      <c r="M30" s="10">
        <v>0.03</v>
      </c>
      <c r="N30" s="19">
        <v>94843.39</v>
      </c>
      <c r="O30" s="13">
        <v>14.23</v>
      </c>
    </row>
    <row r="31">
      <c r="A31" s="10" t="s">
        <v>15</v>
      </c>
      <c r="B31" s="18">
        <v>675.7</v>
      </c>
      <c r="C31" s="10">
        <v>0.1</v>
      </c>
      <c r="D31" s="18">
        <v>18444.8</v>
      </c>
      <c r="E31" s="10">
        <v>2.77</v>
      </c>
      <c r="F31" s="18">
        <v>36336.6</v>
      </c>
      <c r="G31" s="10">
        <v>5.45</v>
      </c>
      <c r="H31" s="18">
        <v>14175.44</v>
      </c>
      <c r="I31" s="10">
        <v>2.13</v>
      </c>
      <c r="J31" s="18">
        <v>3517.57</v>
      </c>
      <c r="K31" s="10">
        <v>0.53</v>
      </c>
      <c r="L31" s="18">
        <v>102.68</v>
      </c>
      <c r="M31" s="10">
        <v>0.02</v>
      </c>
      <c r="N31" s="19">
        <v>73252.79</v>
      </c>
      <c r="O31" s="13">
        <v>11</v>
      </c>
    </row>
    <row r="32">
      <c r="A32" s="10" t="s">
        <v>16</v>
      </c>
      <c r="B32" s="18">
        <v>355.35</v>
      </c>
      <c r="C32" s="10">
        <v>0.05</v>
      </c>
      <c r="D32" s="18">
        <v>4221.27</v>
      </c>
      <c r="E32" s="10">
        <v>0.63</v>
      </c>
      <c r="F32" s="18">
        <v>3698.28</v>
      </c>
      <c r="G32" s="10">
        <v>0.55</v>
      </c>
      <c r="H32" s="18">
        <v>452.6</v>
      </c>
      <c r="I32" s="10">
        <v>0.07</v>
      </c>
      <c r="J32" s="18">
        <v>228.24</v>
      </c>
      <c r="K32" s="10">
        <v>0.03</v>
      </c>
      <c r="L32" s="18">
        <v>100.98</v>
      </c>
      <c r="M32" s="10">
        <v>0.02</v>
      </c>
      <c r="N32" s="19">
        <v>9056.72</v>
      </c>
      <c r="O32" s="13">
        <v>1.35</v>
      </c>
    </row>
    <row r="33">
      <c r="A33" s="10" t="s">
        <v>17</v>
      </c>
      <c r="B33" s="18"/>
      <c r="C33" s="10"/>
      <c r="D33" s="18">
        <v>385.56</v>
      </c>
      <c r="E33" s="10">
        <v>0.06</v>
      </c>
      <c r="F33" s="18">
        <v>219.6</v>
      </c>
      <c r="G33" s="10">
        <v>0.03</v>
      </c>
      <c r="H33" s="18">
        <v>108.63</v>
      </c>
      <c r="I33" s="10">
        <v>0.02</v>
      </c>
      <c r="J33" s="18">
        <v>106.4</v>
      </c>
      <c r="K33" s="10">
        <v>0.02</v>
      </c>
      <c r="L33" s="18"/>
      <c r="M33" s="10"/>
      <c r="N33" s="19">
        <v>820.19</v>
      </c>
      <c r="O33" s="13">
        <v>0.13</v>
      </c>
    </row>
    <row r="34">
      <c r="A34" s="7" t="s">
        <v>23</v>
      </c>
      <c r="B34" s="19"/>
      <c r="C34" s="14"/>
      <c r="D34" s="17">
        <v>875.21</v>
      </c>
      <c r="E34" s="7">
        <v>0.13</v>
      </c>
      <c r="F34" s="17">
        <v>1553.48</v>
      </c>
      <c r="G34" s="7">
        <v>0.24</v>
      </c>
      <c r="H34" s="17">
        <v>825.6</v>
      </c>
      <c r="I34" s="7">
        <v>0.12</v>
      </c>
      <c r="J34" s="19"/>
      <c r="K34" s="14"/>
      <c r="L34" s="19"/>
      <c r="M34" s="14"/>
      <c r="N34" s="17">
        <v>3254.29</v>
      </c>
      <c r="O34" s="9">
        <v>0.49</v>
      </c>
    </row>
    <row r="35">
      <c r="A35" s="10" t="s">
        <v>13</v>
      </c>
      <c r="B35" s="18"/>
      <c r="C35" s="10"/>
      <c r="D35" s="18">
        <v>385.2</v>
      </c>
      <c r="E35" s="10">
        <v>0.06</v>
      </c>
      <c r="F35" s="18">
        <v>444.8</v>
      </c>
      <c r="G35" s="10">
        <v>0.07</v>
      </c>
      <c r="H35" s="18">
        <v>156.8</v>
      </c>
      <c r="I35" s="10">
        <v>0.02</v>
      </c>
      <c r="J35" s="18"/>
      <c r="K35" s="10"/>
      <c r="L35" s="18"/>
      <c r="M35" s="10"/>
      <c r="N35" s="19">
        <v>986.8</v>
      </c>
      <c r="O35" s="13">
        <v>0.15</v>
      </c>
    </row>
    <row r="36">
      <c r="A36" s="10" t="s">
        <v>14</v>
      </c>
      <c r="B36" s="18"/>
      <c r="C36" s="10"/>
      <c r="D36" s="18">
        <v>333.84</v>
      </c>
      <c r="E36" s="10">
        <v>0.05</v>
      </c>
      <c r="F36" s="18">
        <v>297.6</v>
      </c>
      <c r="G36" s="10">
        <v>0.04</v>
      </c>
      <c r="H36" s="18">
        <v>385.6</v>
      </c>
      <c r="I36" s="10">
        <v>0.06</v>
      </c>
      <c r="J36" s="18"/>
      <c r="K36" s="10"/>
      <c r="L36" s="18"/>
      <c r="M36" s="10"/>
      <c r="N36" s="19">
        <v>1017.04</v>
      </c>
      <c r="O36" s="13">
        <v>0.15</v>
      </c>
    </row>
    <row r="37">
      <c r="A37" s="10" t="s">
        <v>15</v>
      </c>
      <c r="B37" s="18"/>
      <c r="C37" s="10"/>
      <c r="D37" s="18">
        <v>156.17</v>
      </c>
      <c r="E37" s="10">
        <v>0.02</v>
      </c>
      <c r="F37" s="18">
        <v>576</v>
      </c>
      <c r="G37" s="10">
        <v>0.09</v>
      </c>
      <c r="H37" s="18">
        <v>283.2</v>
      </c>
      <c r="I37" s="10">
        <v>0.04</v>
      </c>
      <c r="J37" s="18"/>
      <c r="K37" s="10"/>
      <c r="L37" s="18"/>
      <c r="M37" s="10"/>
      <c r="N37" s="19">
        <v>1015.37</v>
      </c>
      <c r="O37" s="13">
        <v>0.15</v>
      </c>
    </row>
    <row r="38">
      <c r="A38" s="10" t="s">
        <v>16</v>
      </c>
      <c r="B38" s="18"/>
      <c r="C38" s="10"/>
      <c r="D38" s="18"/>
      <c r="E38" s="10"/>
      <c r="F38" s="18">
        <v>119.88</v>
      </c>
      <c r="G38" s="10">
        <v>0.02</v>
      </c>
      <c r="H38" s="18"/>
      <c r="I38" s="10"/>
      <c r="J38" s="18"/>
      <c r="K38" s="10"/>
      <c r="L38" s="18"/>
      <c r="M38" s="10"/>
      <c r="N38" s="19">
        <v>119.88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115.2</v>
      </c>
      <c r="G39" s="10">
        <v>0.02</v>
      </c>
      <c r="H39" s="18"/>
      <c r="I39" s="10"/>
      <c r="J39" s="18"/>
      <c r="K39" s="10"/>
      <c r="L39" s="18"/>
      <c r="M39" s="10"/>
      <c r="N39" s="19">
        <v>115.2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249.52</v>
      </c>
      <c r="G40" s="7">
        <v>0.04</v>
      </c>
      <c r="H40" s="17">
        <v>209.11</v>
      </c>
      <c r="I40" s="7">
        <v>0.03</v>
      </c>
      <c r="J40" s="17">
        <v>1132.62</v>
      </c>
      <c r="K40" s="7">
        <v>0.17</v>
      </c>
      <c r="L40" s="19"/>
      <c r="M40" s="14"/>
      <c r="N40" s="17">
        <v>1591.25</v>
      </c>
      <c r="O40" s="9">
        <v>0.24</v>
      </c>
    </row>
    <row r="41">
      <c r="A41" s="10" t="s">
        <v>14</v>
      </c>
      <c r="B41" s="18"/>
      <c r="C41" s="10"/>
      <c r="D41" s="18"/>
      <c r="E41" s="10"/>
      <c r="F41" s="18">
        <v>249.52</v>
      </c>
      <c r="G41" s="10">
        <v>0.04</v>
      </c>
      <c r="H41" s="18">
        <v>209.11</v>
      </c>
      <c r="I41" s="10">
        <v>0.03</v>
      </c>
      <c r="J41" s="18">
        <v>561.45</v>
      </c>
      <c r="K41" s="10">
        <v>0.08</v>
      </c>
      <c r="L41" s="18"/>
      <c r="M41" s="10"/>
      <c r="N41" s="19">
        <v>1020.08</v>
      </c>
      <c r="O41" s="13">
        <v>0.15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571.17</v>
      </c>
      <c r="K42" s="10">
        <v>0.09</v>
      </c>
      <c r="L42" s="18"/>
      <c r="M42" s="10"/>
      <c r="N42" s="19">
        <v>571.17</v>
      </c>
      <c r="O42" s="13">
        <v>0.09</v>
      </c>
    </row>
    <row r="43">
      <c r="A43" s="7" t="s">
        <v>25</v>
      </c>
      <c r="B43" s="19"/>
      <c r="C43" s="14"/>
      <c r="D43" s="17">
        <v>7553.37</v>
      </c>
      <c r="E43" s="7">
        <v>1.13</v>
      </c>
      <c r="F43" s="17">
        <v>13938.7</v>
      </c>
      <c r="G43" s="7">
        <v>2.09</v>
      </c>
      <c r="H43" s="17">
        <v>15580.59</v>
      </c>
      <c r="I43" s="7">
        <v>2.34</v>
      </c>
      <c r="J43" s="17">
        <v>3422.91</v>
      </c>
      <c r="K43" s="7">
        <v>0.51</v>
      </c>
      <c r="L43" s="19"/>
      <c r="M43" s="14"/>
      <c r="N43" s="17">
        <v>40495.57</v>
      </c>
      <c r="O43" s="9">
        <v>6.07</v>
      </c>
    </row>
    <row r="44">
      <c r="A44" s="10" t="s">
        <v>13</v>
      </c>
      <c r="B44" s="18"/>
      <c r="C44" s="10"/>
      <c r="D44" s="18">
        <v>1377</v>
      </c>
      <c r="E44" s="10">
        <v>0.21</v>
      </c>
      <c r="F44" s="18">
        <v>3229.51</v>
      </c>
      <c r="G44" s="10">
        <v>0.48</v>
      </c>
      <c r="H44" s="18">
        <v>2749.26</v>
      </c>
      <c r="I44" s="10">
        <v>0.41</v>
      </c>
      <c r="J44" s="18">
        <v>746.34</v>
      </c>
      <c r="K44" s="10">
        <v>0.11</v>
      </c>
      <c r="L44" s="18"/>
      <c r="M44" s="10"/>
      <c r="N44" s="19">
        <v>8102.11</v>
      </c>
      <c r="O44" s="13">
        <v>1.21</v>
      </c>
    </row>
    <row r="45">
      <c r="A45" s="10" t="s">
        <v>14</v>
      </c>
      <c r="B45" s="18"/>
      <c r="C45" s="10"/>
      <c r="D45" s="18">
        <v>1554.34</v>
      </c>
      <c r="E45" s="10">
        <v>0.23</v>
      </c>
      <c r="F45" s="18">
        <v>5238.22</v>
      </c>
      <c r="G45" s="10">
        <v>0.79</v>
      </c>
      <c r="H45" s="18">
        <v>7045.14</v>
      </c>
      <c r="I45" s="10">
        <v>1.06</v>
      </c>
      <c r="J45" s="18">
        <v>1113.54</v>
      </c>
      <c r="K45" s="10">
        <v>0.17</v>
      </c>
      <c r="L45" s="18"/>
      <c r="M45" s="10"/>
      <c r="N45" s="19">
        <v>14951.24</v>
      </c>
      <c r="O45" s="13">
        <v>2.25</v>
      </c>
    </row>
    <row r="46">
      <c r="A46" s="10" t="s">
        <v>15</v>
      </c>
      <c r="B46" s="18"/>
      <c r="C46" s="10"/>
      <c r="D46" s="18">
        <v>2953.6</v>
      </c>
      <c r="E46" s="10">
        <v>0.44</v>
      </c>
      <c r="F46" s="18">
        <v>4709.47</v>
      </c>
      <c r="G46" s="10">
        <v>0.71</v>
      </c>
      <c r="H46" s="18">
        <v>4978.89</v>
      </c>
      <c r="I46" s="10">
        <v>0.75</v>
      </c>
      <c r="J46" s="18">
        <v>1563.03</v>
      </c>
      <c r="K46" s="10">
        <v>0.23</v>
      </c>
      <c r="L46" s="18"/>
      <c r="M46" s="10"/>
      <c r="N46" s="19">
        <v>14204.99</v>
      </c>
      <c r="O46" s="13">
        <v>2.13</v>
      </c>
    </row>
    <row r="47">
      <c r="A47" s="10" t="s">
        <v>16</v>
      </c>
      <c r="B47" s="18"/>
      <c r="C47" s="10"/>
      <c r="D47" s="18">
        <v>1668.43</v>
      </c>
      <c r="E47" s="10">
        <v>0.25</v>
      </c>
      <c r="F47" s="18">
        <v>613.5</v>
      </c>
      <c r="G47" s="10">
        <v>0.09</v>
      </c>
      <c r="H47" s="18">
        <v>508</v>
      </c>
      <c r="I47" s="10">
        <v>0.08</v>
      </c>
      <c r="J47" s="18"/>
      <c r="K47" s="10"/>
      <c r="L47" s="18"/>
      <c r="M47" s="10"/>
      <c r="N47" s="19">
        <v>2789.93</v>
      </c>
      <c r="O47" s="13">
        <v>0.42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>
        <v>299.3</v>
      </c>
      <c r="I48" s="10">
        <v>0.04</v>
      </c>
      <c r="J48" s="18"/>
      <c r="K48" s="10"/>
      <c r="L48" s="18"/>
      <c r="M48" s="10"/>
      <c r="N48" s="19">
        <v>447.3</v>
      </c>
      <c r="O48" s="13">
        <v>0.06</v>
      </c>
    </row>
    <row r="49">
      <c r="A49" s="7" t="s">
        <v>26</v>
      </c>
      <c r="B49" s="19"/>
      <c r="C49" s="14"/>
      <c r="D49" s="17">
        <v>211</v>
      </c>
      <c r="E49" s="7">
        <v>0.03</v>
      </c>
      <c r="F49" s="19"/>
      <c r="G49" s="14"/>
      <c r="H49" s="17">
        <v>1116.67</v>
      </c>
      <c r="I49" s="7">
        <v>0.18</v>
      </c>
      <c r="J49" s="19"/>
      <c r="K49" s="14"/>
      <c r="L49" s="19"/>
      <c r="M49" s="14"/>
      <c r="N49" s="17">
        <v>1327.67</v>
      </c>
      <c r="O49" s="9">
        <v>0.21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570.69</v>
      </c>
      <c r="I50" s="10">
        <v>0.09</v>
      </c>
      <c r="J50" s="18"/>
      <c r="K50" s="10"/>
      <c r="L50" s="18"/>
      <c r="M50" s="10"/>
      <c r="N50" s="19">
        <v>570.69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302.5</v>
      </c>
      <c r="I51" s="10">
        <v>0.05</v>
      </c>
      <c r="J51" s="18"/>
      <c r="K51" s="10"/>
      <c r="L51" s="18"/>
      <c r="M51" s="10"/>
      <c r="N51" s="19">
        <v>302.5</v>
      </c>
      <c r="O51" s="13">
        <v>0.05</v>
      </c>
    </row>
    <row r="52">
      <c r="A52" s="10" t="s">
        <v>16</v>
      </c>
      <c r="B52" s="18"/>
      <c r="C52" s="10"/>
      <c r="D52" s="18">
        <v>211</v>
      </c>
      <c r="E52" s="10">
        <v>0.03</v>
      </c>
      <c r="F52" s="18"/>
      <c r="G52" s="10"/>
      <c r="H52" s="18">
        <v>243.48</v>
      </c>
      <c r="I52" s="10">
        <v>0.04</v>
      </c>
      <c r="J52" s="18"/>
      <c r="K52" s="10"/>
      <c r="L52" s="18"/>
      <c r="M52" s="10"/>
      <c r="N52" s="19">
        <v>454.48</v>
      </c>
      <c r="O52" s="13">
        <v>0.07</v>
      </c>
    </row>
    <row r="53">
      <c r="A53" s="7" t="s">
        <v>27</v>
      </c>
      <c r="B53" s="19"/>
      <c r="C53" s="14"/>
      <c r="D53" s="17">
        <v>808.44</v>
      </c>
      <c r="E53" s="7">
        <v>0.12</v>
      </c>
      <c r="F53" s="17">
        <v>2323.94</v>
      </c>
      <c r="G53" s="7">
        <v>0.34</v>
      </c>
      <c r="H53" s="17">
        <v>2863.25</v>
      </c>
      <c r="I53" s="7">
        <v>0.43</v>
      </c>
      <c r="J53" s="17">
        <v>772.19</v>
      </c>
      <c r="K53" s="7">
        <v>0.12</v>
      </c>
      <c r="L53" s="19"/>
      <c r="M53" s="14"/>
      <c r="N53" s="17">
        <v>6767.82</v>
      </c>
      <c r="O53" s="9">
        <v>1.01</v>
      </c>
    </row>
    <row r="54">
      <c r="A54" s="10" t="s">
        <v>13</v>
      </c>
      <c r="B54" s="18"/>
      <c r="C54" s="10"/>
      <c r="D54" s="18"/>
      <c r="E54" s="10"/>
      <c r="F54" s="18">
        <v>566.14</v>
      </c>
      <c r="G54" s="10">
        <v>0.08</v>
      </c>
      <c r="H54" s="18">
        <v>739.53</v>
      </c>
      <c r="I54" s="10">
        <v>0.11</v>
      </c>
      <c r="J54" s="18"/>
      <c r="K54" s="10"/>
      <c r="L54" s="18"/>
      <c r="M54" s="10"/>
      <c r="N54" s="19">
        <v>1305.67</v>
      </c>
      <c r="O54" s="13">
        <v>0.19</v>
      </c>
    </row>
    <row r="55">
      <c r="A55" s="10" t="s">
        <v>14</v>
      </c>
      <c r="B55" s="18"/>
      <c r="C55" s="10"/>
      <c r="D55" s="18"/>
      <c r="E55" s="10"/>
      <c r="F55" s="18">
        <v>1267.33</v>
      </c>
      <c r="G55" s="10">
        <v>0.19</v>
      </c>
      <c r="H55" s="18">
        <v>608.8</v>
      </c>
      <c r="I55" s="10">
        <v>0.09</v>
      </c>
      <c r="J55" s="18">
        <v>772.19</v>
      </c>
      <c r="K55" s="10">
        <v>0.12</v>
      </c>
      <c r="L55" s="18"/>
      <c r="M55" s="10"/>
      <c r="N55" s="19">
        <v>2648.32</v>
      </c>
      <c r="O55" s="13">
        <v>0.4</v>
      </c>
    </row>
    <row r="56">
      <c r="A56" s="10" t="s">
        <v>15</v>
      </c>
      <c r="B56" s="18"/>
      <c r="C56" s="10"/>
      <c r="D56" s="18">
        <v>296.4</v>
      </c>
      <c r="E56" s="10">
        <v>0.04</v>
      </c>
      <c r="F56" s="18">
        <v>490.47</v>
      </c>
      <c r="G56" s="10">
        <v>0.07</v>
      </c>
      <c r="H56" s="18">
        <v>248.49</v>
      </c>
      <c r="I56" s="10">
        <v>0.04</v>
      </c>
      <c r="J56" s="18"/>
      <c r="K56" s="10"/>
      <c r="L56" s="18"/>
      <c r="M56" s="10"/>
      <c r="N56" s="19">
        <v>1035.36</v>
      </c>
      <c r="O56" s="13">
        <v>0.15</v>
      </c>
    </row>
    <row r="57">
      <c r="A57" s="10" t="s">
        <v>16</v>
      </c>
      <c r="B57" s="18"/>
      <c r="C57" s="10"/>
      <c r="D57" s="18">
        <v>512.04</v>
      </c>
      <c r="E57" s="10">
        <v>0.08</v>
      </c>
      <c r="F57" s="18"/>
      <c r="G57" s="10"/>
      <c r="H57" s="18">
        <v>1079.95</v>
      </c>
      <c r="I57" s="10">
        <v>0.16</v>
      </c>
      <c r="J57" s="18"/>
      <c r="K57" s="10"/>
      <c r="L57" s="18"/>
      <c r="M57" s="10"/>
      <c r="N57" s="19">
        <v>1591.99</v>
      </c>
      <c r="O57" s="13">
        <v>0.24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186.48</v>
      </c>
      <c r="I58" s="10">
        <v>0.03</v>
      </c>
      <c r="J58" s="18"/>
      <c r="K58" s="10"/>
      <c r="L58" s="18"/>
      <c r="M58" s="10"/>
      <c r="N58" s="19">
        <v>186.48</v>
      </c>
      <c r="O58" s="13">
        <v>0.03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719.7</v>
      </c>
      <c r="I59" s="7">
        <v>0.11</v>
      </c>
      <c r="J59" s="19"/>
      <c r="K59" s="14"/>
      <c r="L59" s="19"/>
      <c r="M59" s="14"/>
      <c r="N59" s="17">
        <v>719.7</v>
      </c>
      <c r="O59" s="9">
        <v>0.11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350.2</v>
      </c>
      <c r="I60" s="10">
        <v>0.05</v>
      </c>
      <c r="J60" s="18"/>
      <c r="K60" s="10"/>
      <c r="L60" s="18"/>
      <c r="M60" s="10"/>
      <c r="N60" s="19">
        <v>350.2</v>
      </c>
      <c r="O60" s="13">
        <v>0.05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369.5</v>
      </c>
      <c r="I61" s="10">
        <v>0.06</v>
      </c>
      <c r="J61" s="18"/>
      <c r="K61" s="10"/>
      <c r="L61" s="18"/>
      <c r="M61" s="10"/>
      <c r="N61" s="19">
        <v>369.5</v>
      </c>
      <c r="O61" s="13">
        <v>0.06</v>
      </c>
    </row>
    <row r="62">
      <c r="A62" s="7" t="s">
        <v>29</v>
      </c>
      <c r="B62" s="19"/>
      <c r="C62" s="14"/>
      <c r="D62" s="17">
        <v>971.65</v>
      </c>
      <c r="E62" s="7">
        <v>0.15</v>
      </c>
      <c r="F62" s="17">
        <v>5800.32</v>
      </c>
      <c r="G62" s="7">
        <v>0.86</v>
      </c>
      <c r="H62" s="17">
        <v>1624.23</v>
      </c>
      <c r="I62" s="7">
        <v>0.24</v>
      </c>
      <c r="J62" s="17">
        <v>2888.37</v>
      </c>
      <c r="K62" s="7">
        <v>0.44</v>
      </c>
      <c r="L62" s="19"/>
      <c r="M62" s="14"/>
      <c r="N62" s="17">
        <v>11284.57</v>
      </c>
      <c r="O62" s="9">
        <v>1.69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366</v>
      </c>
      <c r="I63" s="10">
        <v>0.05</v>
      </c>
      <c r="J63" s="18"/>
      <c r="K63" s="10"/>
      <c r="L63" s="18"/>
      <c r="M63" s="10"/>
      <c r="N63" s="19">
        <v>366</v>
      </c>
      <c r="O63" s="13">
        <v>0.05</v>
      </c>
    </row>
    <row r="64">
      <c r="A64" s="10" t="s">
        <v>14</v>
      </c>
      <c r="B64" s="18"/>
      <c r="C64" s="10"/>
      <c r="D64" s="18"/>
      <c r="E64" s="10"/>
      <c r="F64" s="18">
        <v>1621.29</v>
      </c>
      <c r="G64" s="10">
        <v>0.24</v>
      </c>
      <c r="H64" s="18">
        <v>420.41</v>
      </c>
      <c r="I64" s="10">
        <v>0.06</v>
      </c>
      <c r="J64" s="18">
        <v>1173.02</v>
      </c>
      <c r="K64" s="10">
        <v>0.18</v>
      </c>
      <c r="L64" s="18"/>
      <c r="M64" s="10"/>
      <c r="N64" s="19">
        <v>3214.72</v>
      </c>
      <c r="O64" s="13">
        <v>0.48</v>
      </c>
    </row>
    <row r="65">
      <c r="A65" s="10" t="s">
        <v>15</v>
      </c>
      <c r="B65" s="18"/>
      <c r="C65" s="10"/>
      <c r="D65" s="18">
        <v>332.2</v>
      </c>
      <c r="E65" s="10">
        <v>0.05</v>
      </c>
      <c r="F65" s="18">
        <v>3255.7</v>
      </c>
      <c r="G65" s="10">
        <v>0.49</v>
      </c>
      <c r="H65" s="18">
        <v>517.72</v>
      </c>
      <c r="I65" s="10">
        <v>0.08</v>
      </c>
      <c r="J65" s="18">
        <v>608.86</v>
      </c>
      <c r="K65" s="10">
        <v>0.09</v>
      </c>
      <c r="L65" s="18"/>
      <c r="M65" s="10"/>
      <c r="N65" s="19">
        <v>4714.48</v>
      </c>
      <c r="O65" s="13">
        <v>0.71</v>
      </c>
    </row>
    <row r="66">
      <c r="A66" s="10" t="s">
        <v>16</v>
      </c>
      <c r="B66" s="18"/>
      <c r="C66" s="10"/>
      <c r="D66" s="18">
        <v>639.45</v>
      </c>
      <c r="E66" s="10">
        <v>0.1</v>
      </c>
      <c r="F66" s="18">
        <v>696.08</v>
      </c>
      <c r="G66" s="10">
        <v>0.1</v>
      </c>
      <c r="H66" s="18">
        <v>320.1</v>
      </c>
      <c r="I66" s="10">
        <v>0.05</v>
      </c>
      <c r="J66" s="18">
        <v>1106.49</v>
      </c>
      <c r="K66" s="10">
        <v>0.17</v>
      </c>
      <c r="L66" s="18"/>
      <c r="M66" s="10"/>
      <c r="N66" s="19">
        <v>2762.12</v>
      </c>
      <c r="O66" s="13">
        <v>0.42</v>
      </c>
    </row>
    <row r="67">
      <c r="A67" s="10" t="s">
        <v>17</v>
      </c>
      <c r="B67" s="18"/>
      <c r="C67" s="10"/>
      <c r="D67" s="18"/>
      <c r="E67" s="10"/>
      <c r="F67" s="18">
        <v>227.25</v>
      </c>
      <c r="G67" s="10">
        <v>0.03</v>
      </c>
      <c r="H67" s="18"/>
      <c r="I67" s="10"/>
      <c r="J67" s="18"/>
      <c r="K67" s="10"/>
      <c r="L67" s="18"/>
      <c r="M67" s="10"/>
      <c r="N67" s="19">
        <v>227.25</v>
      </c>
      <c r="O67" s="13">
        <v>0.03</v>
      </c>
    </row>
    <row r="68">
      <c r="A68" s="7" t="s">
        <v>30</v>
      </c>
      <c r="B68" s="19"/>
      <c r="C68" s="14"/>
      <c r="D68" s="19"/>
      <c r="E68" s="14"/>
      <c r="F68" s="17">
        <v>947.13</v>
      </c>
      <c r="G68" s="7">
        <v>0.14</v>
      </c>
      <c r="H68" s="17">
        <v>1810.93</v>
      </c>
      <c r="I68" s="7">
        <v>0.27</v>
      </c>
      <c r="J68" s="17">
        <v>367.66</v>
      </c>
      <c r="K68" s="7">
        <v>0.06</v>
      </c>
      <c r="L68" s="19"/>
      <c r="M68" s="14"/>
      <c r="N68" s="17">
        <v>3125.72</v>
      </c>
      <c r="O68" s="9">
        <v>0.47</v>
      </c>
    </row>
    <row r="69">
      <c r="A69" s="10" t="s">
        <v>13</v>
      </c>
      <c r="B69" s="18"/>
      <c r="C69" s="10"/>
      <c r="D69" s="18"/>
      <c r="E69" s="10"/>
      <c r="F69" s="18">
        <v>520.46</v>
      </c>
      <c r="G69" s="10">
        <v>0.08</v>
      </c>
      <c r="H69" s="18">
        <v>460.03</v>
      </c>
      <c r="I69" s="10">
        <v>0.07</v>
      </c>
      <c r="J69" s="18"/>
      <c r="K69" s="10"/>
      <c r="L69" s="18"/>
      <c r="M69" s="10"/>
      <c r="N69" s="19">
        <v>980.49</v>
      </c>
      <c r="O69" s="13">
        <v>0.15</v>
      </c>
    </row>
    <row r="70">
      <c r="A70" s="10" t="s">
        <v>14</v>
      </c>
      <c r="B70" s="18"/>
      <c r="C70" s="10"/>
      <c r="D70" s="18"/>
      <c r="E70" s="10"/>
      <c r="F70" s="18">
        <v>426.67</v>
      </c>
      <c r="G70" s="10">
        <v>0.06</v>
      </c>
      <c r="H70" s="18">
        <v>1078.32</v>
      </c>
      <c r="I70" s="10">
        <v>0.16</v>
      </c>
      <c r="J70" s="18">
        <v>367.66</v>
      </c>
      <c r="K70" s="10">
        <v>0.06</v>
      </c>
      <c r="L70" s="18"/>
      <c r="M70" s="10"/>
      <c r="N70" s="19">
        <v>1872.65</v>
      </c>
      <c r="O70" s="13">
        <v>0.28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272.58</v>
      </c>
      <c r="I71" s="10">
        <v>0.04</v>
      </c>
      <c r="J71" s="18"/>
      <c r="K71" s="10"/>
      <c r="L71" s="18"/>
      <c r="M71" s="10"/>
      <c r="N71" s="19">
        <v>272.58</v>
      </c>
      <c r="O71" s="13">
        <v>0.04</v>
      </c>
    </row>
    <row r="72">
      <c r="A72" s="7" t="s">
        <v>31</v>
      </c>
      <c r="B72" s="19"/>
      <c r="C72" s="14"/>
      <c r="D72" s="19"/>
      <c r="E72" s="14"/>
      <c r="F72" s="17">
        <v>574</v>
      </c>
      <c r="G72" s="7">
        <v>0.09</v>
      </c>
      <c r="H72" s="19"/>
      <c r="I72" s="14"/>
      <c r="J72" s="17">
        <v>788.38</v>
      </c>
      <c r="K72" s="7">
        <v>0.12</v>
      </c>
      <c r="L72" s="19"/>
      <c r="M72" s="14"/>
      <c r="N72" s="17">
        <v>1362.38</v>
      </c>
      <c r="O72" s="9">
        <v>0.21</v>
      </c>
    </row>
    <row r="73">
      <c r="A73" s="10" t="s">
        <v>14</v>
      </c>
      <c r="B73" s="18"/>
      <c r="C73" s="10"/>
      <c r="D73" s="18"/>
      <c r="E73" s="10"/>
      <c r="F73" s="18">
        <v>574</v>
      </c>
      <c r="G73" s="10">
        <v>0.09</v>
      </c>
      <c r="H73" s="18"/>
      <c r="I73" s="10"/>
      <c r="J73" s="18">
        <v>461.95</v>
      </c>
      <c r="K73" s="10">
        <v>0.07</v>
      </c>
      <c r="L73" s="18"/>
      <c r="M73" s="10"/>
      <c r="N73" s="19">
        <v>1035.95</v>
      </c>
      <c r="O73" s="13">
        <v>0.16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326.43</v>
      </c>
      <c r="K74" s="10">
        <v>0.05</v>
      </c>
      <c r="L74" s="18"/>
      <c r="M74" s="10"/>
      <c r="N74" s="19">
        <v>326.43</v>
      </c>
      <c r="O74" s="13">
        <v>0.05</v>
      </c>
    </row>
    <row r="75">
      <c r="A75" s="7" t="s">
        <v>32</v>
      </c>
      <c r="B75" s="19"/>
      <c r="C75" s="14"/>
      <c r="D75" s="19"/>
      <c r="E75" s="14"/>
      <c r="F75" s="17">
        <v>445.89</v>
      </c>
      <c r="G75" s="7">
        <v>0.07</v>
      </c>
      <c r="H75" s="17">
        <v>1797.77</v>
      </c>
      <c r="I75" s="7">
        <v>0.27</v>
      </c>
      <c r="J75" s="17">
        <v>687.44</v>
      </c>
      <c r="K75" s="7">
        <v>0.1</v>
      </c>
      <c r="L75" s="19"/>
      <c r="M75" s="14"/>
      <c r="N75" s="17">
        <v>2931.1</v>
      </c>
      <c r="O75" s="9">
        <v>0.44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1797.77</v>
      </c>
      <c r="I76" s="10">
        <v>0.27</v>
      </c>
      <c r="J76" s="18"/>
      <c r="K76" s="10"/>
      <c r="L76" s="18"/>
      <c r="M76" s="10"/>
      <c r="N76" s="19">
        <v>1797.77</v>
      </c>
      <c r="O76" s="13">
        <v>0.27</v>
      </c>
    </row>
    <row r="77">
      <c r="A77" s="10" t="s">
        <v>15</v>
      </c>
      <c r="B77" s="18"/>
      <c r="C77" s="10"/>
      <c r="D77" s="18"/>
      <c r="E77" s="10"/>
      <c r="F77" s="18">
        <v>445.89</v>
      </c>
      <c r="G77" s="10">
        <v>0.07</v>
      </c>
      <c r="H77" s="18"/>
      <c r="I77" s="10"/>
      <c r="J77" s="18"/>
      <c r="K77" s="10"/>
      <c r="L77" s="18"/>
      <c r="M77" s="10"/>
      <c r="N77" s="19">
        <v>445.89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687.44</v>
      </c>
      <c r="K78" s="10">
        <v>0.1</v>
      </c>
      <c r="L78" s="18"/>
      <c r="M78" s="10"/>
      <c r="N78" s="19">
        <v>687.44</v>
      </c>
      <c r="O78" s="13">
        <v>0.1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781.23</v>
      </c>
      <c r="I79" s="7">
        <v>0.12</v>
      </c>
      <c r="J79" s="19"/>
      <c r="K79" s="14"/>
      <c r="L79" s="19"/>
      <c r="M79" s="14"/>
      <c r="N79" s="17">
        <v>781.23</v>
      </c>
      <c r="O79" s="9">
        <v>0.12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781.23</v>
      </c>
      <c r="I80" s="10">
        <v>0.12</v>
      </c>
      <c r="J80" s="18"/>
      <c r="K80" s="10"/>
      <c r="L80" s="18"/>
      <c r="M80" s="10"/>
      <c r="N80" s="19">
        <v>781.23</v>
      </c>
      <c r="O80" s="13">
        <v>0.12</v>
      </c>
    </row>
    <row r="81">
      <c r="A81" s="15" t="s">
        <v>11</v>
      </c>
      <c r="B81" s="20">
        <v>13860.75</v>
      </c>
      <c r="C81" s="15">
        <v>2.08</v>
      </c>
      <c r="D81" s="20">
        <v>188099.27</v>
      </c>
      <c r="E81" s="15">
        <v>28.21</v>
      </c>
      <c r="F81" s="20">
        <v>323952</v>
      </c>
      <c r="G81" s="15">
        <v>48.61</v>
      </c>
      <c r="H81" s="20">
        <v>98298.05</v>
      </c>
      <c r="I81" s="15">
        <v>14.78</v>
      </c>
      <c r="J81" s="20">
        <v>41137.96</v>
      </c>
      <c r="K81" s="15">
        <v>6.19</v>
      </c>
      <c r="L81" s="20">
        <v>1052.27</v>
      </c>
      <c r="M81" s="15">
        <v>0.16</v>
      </c>
      <c r="N81" s="20">
        <v>666400.3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6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8" customWidth="1" style="1"/>
    <col min="4" max="4" width="10" customWidth="1" style="1"/>
    <col min="5" max="5" width="8" customWidth="1" style="1"/>
    <col min="6" max="6" width="12" customWidth="1" style="1"/>
    <col min="7" max="7" width="8" customWidth="1" style="1"/>
    <col min="8" max="8" width="4" customWidth="1" style="1"/>
    <col min="9" max="9" width="8" customWidth="1" style="1"/>
    <col min="10" max="10" width="8" customWidth="1" style="1"/>
    <col min="11" max="11" width="8" customWidth="1" style="1"/>
    <col min="12" max="12" width="12" customWidth="1" style="1"/>
    <col min="13" max="13" width="8" customWidth="1" style="1"/>
    <col min="14" max="14" width="4" customWidth="1" style="1"/>
    <col min="15" max="15" width="10" customWidth="1" style="1"/>
    <col min="16" max="16" width="8" customWidth="1" style="1"/>
    <col min="17" max="17" width="8" customWidth="1" style="1"/>
    <col min="18" max="18" width="12" customWidth="1" style="1"/>
    <col min="19" max="19" width="8" customWidth="1" style="1"/>
    <col min="20" max="16384" width="9.140625" customWidth="1" style="1"/>
  </cols>
  <sheetData>
    <row r="1" ht="35" customHeight="1">
      <c r="A1" s="21" t="s">
        <v>38</v>
      </c>
    </row>
    <row r="2" ht="25" customHeight="1">
      <c r="A2" s="22" t="s">
        <v>4</v>
      </c>
      <c r="B2" s="22" t="s">
        <v>39</v>
      </c>
      <c r="C2" s="9" t="s">
        <v>3</v>
      </c>
      <c r="D2" s="22" t="s">
        <v>35</v>
      </c>
      <c r="E2" s="9" t="s">
        <v>3</v>
      </c>
      <c r="F2" s="22" t="s">
        <v>40</v>
      </c>
      <c r="G2" s="9" t="s">
        <v>3</v>
      </c>
      <c r="I2" s="22" t="s">
        <v>41</v>
      </c>
      <c r="J2" s="22" t="s">
        <v>39</v>
      </c>
      <c r="K2" s="9" t="s">
        <v>3</v>
      </c>
      <c r="L2" s="22" t="s">
        <v>40</v>
      </c>
      <c r="M2" s="9" t="s">
        <v>3</v>
      </c>
      <c r="O2" s="22" t="s">
        <v>42</v>
      </c>
      <c r="P2" s="22" t="s">
        <v>39</v>
      </c>
      <c r="Q2" s="9" t="s">
        <v>3</v>
      </c>
      <c r="R2" s="22" t="s">
        <v>40</v>
      </c>
      <c r="S2" s="9" t="s">
        <v>3</v>
      </c>
    </row>
    <row r="3">
      <c r="A3" s="10" t="s">
        <v>12</v>
      </c>
      <c r="B3" s="23">
        <v>3508</v>
      </c>
      <c r="C3" s="24">
        <f>IF(B$26&gt;0,(B3/B$26)*100,0)</f>
      </c>
      <c r="D3" s="25">
        <v>3667.29</v>
      </c>
      <c r="E3" s="24">
        <f>IF(D$26&gt;0,(D3/D$26)*100,0)</f>
      </c>
      <c r="F3" s="23">
        <v>339241</v>
      </c>
      <c r="G3" s="24">
        <f>IF(F$26&gt;0,(F3/F$26)*100,0)</f>
      </c>
      <c r="I3" s="10" t="s">
        <v>13</v>
      </c>
      <c r="J3" s="23">
        <v>2110</v>
      </c>
      <c r="K3" s="24">
        <f>IF(J$9&gt;0,(J3/J$9)*100,0)</f>
      </c>
      <c r="L3" s="23">
        <v>247297</v>
      </c>
      <c r="M3" s="24">
        <f>IF(L$9&gt;0,(L3/L$9)*100,0)</f>
      </c>
      <c r="O3" s="10" t="s">
        <v>5</v>
      </c>
      <c r="P3" s="23">
        <v>84</v>
      </c>
      <c r="Q3" s="24">
        <f>IF(P$9&gt;0,(P3/P$9)*100,0)</f>
      </c>
      <c r="R3" s="23">
        <v>15486</v>
      </c>
      <c r="S3" s="24">
        <f>IF(R$9&gt;0,(R3/R$9)*100,0)</f>
      </c>
    </row>
    <row r="4">
      <c r="A4" s="10" t="s">
        <v>18</v>
      </c>
      <c r="B4" s="23">
        <v>141</v>
      </c>
      <c r="C4" s="24">
        <f>IF(B$26&gt;0,(B4/B$26)*100,0)</f>
      </c>
      <c r="D4" s="25">
        <v>160.31</v>
      </c>
      <c r="E4" s="24">
        <f>IF(D$26&gt;0,(D4/D$26)*100,0)</f>
      </c>
      <c r="F4" s="23">
        <v>15340</v>
      </c>
      <c r="G4" s="24">
        <f>IF(F$26&gt;0,(F4/F$26)*100,0)</f>
      </c>
      <c r="I4" s="10" t="s">
        <v>14</v>
      </c>
      <c r="J4" s="23">
        <v>2456</v>
      </c>
      <c r="K4" s="24">
        <f>IF(J$9&gt;0,(J4/J$9)*100,0)</f>
      </c>
      <c r="L4" s="23">
        <v>315899</v>
      </c>
      <c r="M4" s="24">
        <f>IF(L$9&gt;0,(L4/L$9)*100,0)</f>
      </c>
      <c r="O4" s="10" t="s">
        <v>6</v>
      </c>
      <c r="P4" s="23">
        <v>1893</v>
      </c>
      <c r="Q4" s="24">
        <f>IF(P$9&gt;0,(P4/P$9)*100,0)</f>
      </c>
      <c r="R4" s="23">
        <v>219383</v>
      </c>
      <c r="S4" s="24">
        <f>IF(R$9&gt;0,(R4/R$9)*100,0)</f>
      </c>
    </row>
    <row r="5">
      <c r="A5" s="10" t="s">
        <v>19</v>
      </c>
      <c r="B5" s="23">
        <v>702</v>
      </c>
      <c r="C5" s="24">
        <f>IF(B$26&gt;0,(B5/B$26)*100,0)</f>
      </c>
      <c r="D5" s="25">
        <v>868.91</v>
      </c>
      <c r="E5" s="24">
        <f>IF(D$26&gt;0,(D5/D$26)*100,0)</f>
      </c>
      <c r="F5" s="23">
        <v>71914</v>
      </c>
      <c r="G5" s="24">
        <f>IF(F$26&gt;0,(F5/F$26)*100,0)</f>
      </c>
      <c r="I5" s="10" t="s">
        <v>15</v>
      </c>
      <c r="J5" s="23">
        <v>1825</v>
      </c>
      <c r="K5" s="24">
        <f>IF(J$9&gt;0,(J5/J$9)*100,0)</f>
      </c>
      <c r="L5" s="23">
        <v>234494</v>
      </c>
      <c r="M5" s="24">
        <f>IF(L$9&gt;0,(L5/L$9)*100,0)</f>
      </c>
      <c r="O5" s="10" t="s">
        <v>7</v>
      </c>
      <c r="P5" s="23">
        <v>3311</v>
      </c>
      <c r="Q5" s="24">
        <f>IF(P$9&gt;0,(P5/P$9)*100,0)</f>
      </c>
      <c r="R5" s="23">
        <v>402720</v>
      </c>
      <c r="S5" s="24">
        <f>IF(R$9&gt;0,(R5/R$9)*100,0)</f>
      </c>
    </row>
    <row r="6">
      <c r="A6" s="10" t="s">
        <v>21</v>
      </c>
      <c r="B6" s="23">
        <v>50</v>
      </c>
      <c r="C6" s="24">
        <f>IF(B$26&gt;0,(B6/B$26)*100,0)</f>
      </c>
      <c r="D6" s="25">
        <v>69.26</v>
      </c>
      <c r="E6" s="24">
        <f>IF(D$26&gt;0,(D6/D$26)*100,0)</f>
      </c>
      <c r="F6" s="23">
        <v>6536</v>
      </c>
      <c r="G6" s="24">
        <f>IF(F$26&gt;0,(F6/F$26)*100,0)</f>
      </c>
      <c r="I6" s="10" t="s">
        <v>16</v>
      </c>
      <c r="J6" s="23">
        <v>340</v>
      </c>
      <c r="K6" s="24">
        <f>IF(J$9&gt;0,(J6/J$9)*100,0)</f>
      </c>
      <c r="L6" s="23">
        <v>47325</v>
      </c>
      <c r="M6" s="24">
        <f>IF(L$9&gt;0,(L6/L$9)*100,0)</f>
      </c>
      <c r="O6" s="10" t="s">
        <v>8</v>
      </c>
      <c r="P6" s="23">
        <v>1222</v>
      </c>
      <c r="Q6" s="24">
        <f>IF(P$9&gt;0,(P6/P$9)*100,0)</f>
      </c>
      <c r="R6" s="23">
        <v>210529</v>
      </c>
      <c r="S6" s="24">
        <f>IF(R$9&gt;0,(R6/R$9)*100,0)</f>
      </c>
    </row>
    <row r="7">
      <c r="A7" s="10" t="s">
        <v>22</v>
      </c>
      <c r="B7" s="23">
        <v>1897</v>
      </c>
      <c r="C7" s="24">
        <f>IF(B$26&gt;0,(B7/B$26)*100,0)</f>
      </c>
      <c r="D7" s="25">
        <v>2898.8</v>
      </c>
      <c r="E7" s="24">
        <f>IF(D$26&gt;0,(D7/D$26)*100,0)</f>
      </c>
      <c r="F7" s="23">
        <v>275426</v>
      </c>
      <c r="G7" s="24">
        <f>IF(F$26&gt;0,(F7/F$26)*100,0)</f>
      </c>
      <c r="I7" s="10" t="s">
        <v>17</v>
      </c>
      <c r="J7" s="23">
        <v>49</v>
      </c>
      <c r="K7" s="24">
        <f>IF(J$9&gt;0,(J7/J$9)*100,0)</f>
      </c>
      <c r="L7" s="23">
        <v>5853</v>
      </c>
      <c r="M7" s="24">
        <f>IF(L$9&gt;0,(L7/L$9)*100,0)</f>
      </c>
      <c r="O7" s="10" t="s">
        <v>9</v>
      </c>
      <c r="P7" s="23">
        <v>481</v>
      </c>
      <c r="Q7" s="24">
        <f>IF(P$9&gt;0,(P7/P$9)*100,0)</f>
      </c>
      <c r="R7" s="23">
        <v>76898</v>
      </c>
      <c r="S7" s="24">
        <f>IF(R$9&gt;0,(R7/R$9)*100,0)</f>
      </c>
    </row>
    <row r="8">
      <c r="A8" s="10" t="s">
        <v>23</v>
      </c>
      <c r="B8" s="23">
        <v>47</v>
      </c>
      <c r="C8" s="24">
        <f>IF(B$26&gt;0,(B8/B$26)*100,0)</f>
      </c>
      <c r="D8" s="25">
        <v>75.99</v>
      </c>
      <c r="E8" s="24">
        <f>IF(D$26&gt;0,(D8/D$26)*100,0)</f>
      </c>
      <c r="F8" s="23">
        <v>7141</v>
      </c>
      <c r="G8" s="24">
        <f>IF(F$26&gt;0,(F8/F$26)*100,0)</f>
      </c>
      <c r="I8" s="10" t="s">
        <v>20</v>
      </c>
      <c r="J8" s="23">
        <v>3</v>
      </c>
      <c r="K8" s="24">
        <f>IF(J$9&gt;0,(J8/J$9)*100,0)</f>
      </c>
      <c r="L8" s="23">
        <v>287</v>
      </c>
      <c r="M8" s="24">
        <f>IF(L$9&gt;0,(L8/L$9)*100,0)</f>
      </c>
      <c r="O8" s="10" t="s">
        <v>10</v>
      </c>
      <c r="P8" s="23">
        <v>43</v>
      </c>
      <c r="Q8" s="24">
        <f>IF(P$9&gt;0,(P8/P$9)*100,0)</f>
      </c>
      <c r="R8" s="23">
        <v>5979</v>
      </c>
      <c r="S8" s="24">
        <f>IF(R$9&gt;0,(R8/R$9)*100,0)</f>
      </c>
    </row>
    <row r="9">
      <c r="A9" s="10" t="s">
        <v>24</v>
      </c>
      <c r="B9" s="23">
        <v>64</v>
      </c>
      <c r="C9" s="24">
        <f>IF(B$26&gt;0,(B9/B$26)*100,0)</f>
      </c>
      <c r="D9" s="25">
        <v>115.35</v>
      </c>
      <c r="E9" s="24">
        <f>IF(D$26&gt;0,(D9/D$26)*100,0)</f>
      </c>
      <c r="F9" s="23">
        <v>11495</v>
      </c>
      <c r="G9" s="24">
        <f>IF(F$26&gt;0,(F9/F$26)*100,0)</f>
      </c>
      <c r="I9" s="9" t="s">
        <v>11</v>
      </c>
      <c r="J9" s="26">
        <f>SUM(J3:J8)</f>
      </c>
      <c r="K9" s="27">
        <f>SUM(K3:K8)</f>
      </c>
      <c r="L9" s="26">
        <f>SUM(L3:L8)</f>
      </c>
      <c r="M9" s="27">
        <f>SUM(M3:M8)</f>
      </c>
      <c r="O9" s="9" t="s">
        <v>11</v>
      </c>
      <c r="P9" s="26">
        <f>SUM(P3:P8)</f>
      </c>
      <c r="Q9" s="27">
        <f>SUM(Q3:Q8)</f>
      </c>
      <c r="R9" s="26">
        <f>SUM(R3:R8)</f>
      </c>
      <c r="S9" s="27">
        <f>SUM(S3:S8)</f>
      </c>
    </row>
    <row r="10">
      <c r="A10" s="10" t="s">
        <v>25</v>
      </c>
      <c r="B10" s="23">
        <v>287</v>
      </c>
      <c r="C10" s="24">
        <f>IF(B$26&gt;0,(B10/B$26)*100,0)</f>
      </c>
      <c r="D10" s="25">
        <v>584.46</v>
      </c>
      <c r="E10" s="24">
        <f>IF(D$26&gt;0,(D10/D$26)*100,0)</f>
      </c>
      <c r="F10" s="23">
        <v>60527</v>
      </c>
      <c r="G10" s="24">
        <f>IF(F$26&gt;0,(F10/F$26)*100,0)</f>
      </c>
    </row>
    <row r="11">
      <c r="A11" s="10" t="s">
        <v>26</v>
      </c>
      <c r="B11" s="23">
        <v>44</v>
      </c>
      <c r="C11" s="24">
        <f>IF(B$26&gt;0,(B11/B$26)*100,0)</f>
      </c>
      <c r="D11" s="25">
        <v>96.75</v>
      </c>
      <c r="E11" s="24">
        <f>IF(D$26&gt;0,(D11/D$26)*100,0)</f>
      </c>
      <c r="F11" s="23">
        <v>10980</v>
      </c>
      <c r="G11" s="24">
        <f>IF(F$26&gt;0,(F11/F$26)*100,0)</f>
      </c>
    </row>
    <row r="12">
      <c r="A12" s="10" t="s">
        <v>27</v>
      </c>
      <c r="B12" s="23">
        <v>53</v>
      </c>
      <c r="C12" s="24">
        <f>IF(B$26&gt;0,(B12/B$26)*100,0)</f>
      </c>
      <c r="D12" s="25">
        <v>134.45</v>
      </c>
      <c r="E12" s="24">
        <f>IF(D$26&gt;0,(D12/D$26)*100,0)</f>
      </c>
      <c r="F12" s="23">
        <v>13754</v>
      </c>
      <c r="G12" s="24">
        <f>IF(F$26&gt;0,(F12/F$26)*100,0)</f>
      </c>
      <c r="P12" s="22" t="s">
        <v>43</v>
      </c>
      <c r="Q12" s="10"/>
      <c r="R12" s="10"/>
      <c r="S12" s="9" t="s">
        <v>3</v>
      </c>
    </row>
    <row r="13">
      <c r="A13" s="10" t="s">
        <v>28</v>
      </c>
      <c r="B13" s="23">
        <v>12</v>
      </c>
      <c r="C13" s="24">
        <f>IF(B$26&gt;0,(B13/B$26)*100,0)</f>
      </c>
      <c r="D13" s="25">
        <v>33.45</v>
      </c>
      <c r="E13" s="24">
        <f>IF(D$26&gt;0,(D13/D$26)*100,0)</f>
      </c>
      <c r="F13" s="23">
        <v>4227</v>
      </c>
      <c r="G13" s="24">
        <f>IF(F$26&gt;0,(F13/F$26)*100,0)</f>
      </c>
      <c r="P13" s="3" t="s">
        <v>44</v>
      </c>
      <c r="Q13" s="10"/>
      <c r="R13" s="25">
        <v>719296</v>
      </c>
      <c r="S13" s="24">
        <f>IF(R$15&gt;0,(R13/R$15)*100,0)</f>
      </c>
    </row>
    <row r="14">
      <c r="A14" s="10" t="s">
        <v>29</v>
      </c>
      <c r="B14" s="23">
        <v>72</v>
      </c>
      <c r="C14" s="24">
        <f>IF(B$26&gt;0,(B14/B$26)*100,0)</f>
      </c>
      <c r="D14" s="25">
        <v>219.28</v>
      </c>
      <c r="E14" s="24">
        <f>IF(D$26&gt;0,(D14/D$26)*100,0)</f>
      </c>
      <c r="F14" s="23">
        <v>23773</v>
      </c>
      <c r="G14" s="24">
        <f>IF(F$26&gt;0,(F14/F$26)*100,0)</f>
      </c>
      <c r="P14" s="3" t="s">
        <v>45</v>
      </c>
      <c r="Q14" s="10"/>
      <c r="R14" s="25">
        <v>211698</v>
      </c>
      <c r="S14" s="24">
        <f>IF(R$15&gt;0,(R14/R$15)*100,0)</f>
      </c>
    </row>
    <row r="15">
      <c r="A15" s="10" t="s">
        <v>46</v>
      </c>
      <c r="B15" s="23">
        <v>21</v>
      </c>
      <c r="C15" s="24">
        <f>IF(B$26&gt;0,(B15/B$26)*100,0)</f>
      </c>
      <c r="D15" s="25">
        <v>67.03</v>
      </c>
      <c r="E15" s="24">
        <f>IF(D$26&gt;0,(D15/D$26)*100,0)</f>
      </c>
      <c r="F15" s="23">
        <v>8263</v>
      </c>
      <c r="G15" s="24">
        <f>IF(F$26&gt;0,(F15/F$26)*100,0)</f>
      </c>
      <c r="P15" s="10" t="s">
        <v>47</v>
      </c>
      <c r="Q15" s="10"/>
      <c r="R15" s="29">
        <f>SUM(R13:R14)</f>
      </c>
      <c r="S15" s="30">
        <f>SUM(S13:S14)</f>
      </c>
    </row>
    <row r="16">
      <c r="A16" s="10" t="s">
        <v>30</v>
      </c>
      <c r="B16" s="23">
        <v>19</v>
      </c>
      <c r="C16" s="24">
        <f>IF(B$26&gt;0,(B16/B$26)*100,0)</f>
      </c>
      <c r="D16" s="25">
        <v>67.34</v>
      </c>
      <c r="E16" s="24">
        <f>IF(D$26&gt;0,(D16/D$26)*100,0)</f>
      </c>
      <c r="F16" s="23">
        <v>7585</v>
      </c>
      <c r="G16" s="24">
        <f>IF(F$26&gt;0,(F16/F$26)*100,0)</f>
      </c>
    </row>
    <row r="17">
      <c r="A17" s="10" t="s">
        <v>48</v>
      </c>
      <c r="B17" s="23">
        <v>2</v>
      </c>
      <c r="C17" s="24">
        <f>IF(B$26&gt;0,(B17/B$26)*100,0)</f>
      </c>
      <c r="D17" s="25">
        <v>7.34</v>
      </c>
      <c r="E17" s="24">
        <f>IF(D$26&gt;0,(D17/D$26)*100,0)</f>
      </c>
      <c r="F17" s="23">
        <v>851</v>
      </c>
      <c r="G17" s="24">
        <f>IF(F$26&gt;0,(F17/F$26)*100,0)</f>
      </c>
    </row>
    <row r="18">
      <c r="A18" s="10" t="s">
        <v>31</v>
      </c>
      <c r="B18" s="23">
        <v>16</v>
      </c>
      <c r="C18" s="24">
        <f>IF(B$26&gt;0,(B18/B$26)*100,0)</f>
      </c>
      <c r="D18" s="25">
        <v>64.86</v>
      </c>
      <c r="E18" s="24">
        <f>IF(D$26&gt;0,(D18/D$26)*100,0)</f>
      </c>
      <c r="F18" s="23">
        <v>6630</v>
      </c>
      <c r="G18" s="24">
        <f>IF(F$26&gt;0,(F18/F$26)*100,0)</f>
      </c>
    </row>
    <row r="19">
      <c r="A19" s="10" t="s">
        <v>49</v>
      </c>
      <c r="B19" s="23">
        <v>7</v>
      </c>
      <c r="C19" s="24">
        <f>IF(B$26&gt;0,(B19/B$26)*100,0)</f>
      </c>
      <c r="D19" s="25">
        <v>29.59</v>
      </c>
      <c r="E19" s="24">
        <f>IF(D$26&gt;0,(D19/D$26)*100,0)</f>
      </c>
      <c r="F19" s="23">
        <v>3671</v>
      </c>
      <c r="G19" s="24">
        <f>IF(F$26&gt;0,(F19/F$26)*100,0)</f>
      </c>
    </row>
    <row r="20">
      <c r="A20" s="10" t="s">
        <v>50</v>
      </c>
      <c r="B20" s="23">
        <v>10</v>
      </c>
      <c r="C20" s="24">
        <f>IF(B$26&gt;0,(B20/B$26)*100,0)</f>
      </c>
      <c r="D20" s="25">
        <v>47.39</v>
      </c>
      <c r="E20" s="24">
        <f>IF(D$26&gt;0,(D20/D$26)*100,0)</f>
      </c>
      <c r="F20" s="23">
        <v>5924</v>
      </c>
      <c r="G20" s="24">
        <f>IF(F$26&gt;0,(F20/F$26)*100,0)</f>
      </c>
    </row>
    <row r="21">
      <c r="A21" s="10" t="s">
        <v>32</v>
      </c>
      <c r="B21" s="23">
        <v>54</v>
      </c>
      <c r="C21" s="24">
        <f>IF(B$26&gt;0,(B21/B$26)*100,0)</f>
      </c>
      <c r="D21" s="25">
        <v>272.75</v>
      </c>
      <c r="E21" s="24">
        <f>IF(D$26&gt;0,(D21/D$26)*100,0)</f>
      </c>
      <c r="F21" s="23">
        <v>31104</v>
      </c>
      <c r="G21" s="24">
        <f>IF(F$26&gt;0,(F21/F$26)*100,0)</f>
      </c>
    </row>
    <row r="22">
      <c r="A22" s="10" t="s">
        <v>51</v>
      </c>
      <c r="B22" s="23">
        <v>14</v>
      </c>
      <c r="C22" s="24">
        <f>IF(B$26&gt;0,(B22/B$26)*100,0)</f>
      </c>
      <c r="D22" s="25">
        <v>74.18</v>
      </c>
      <c r="E22" s="24">
        <f>IF(D$26&gt;0,(D22/D$26)*100,0)</f>
      </c>
      <c r="F22" s="23">
        <v>10113</v>
      </c>
      <c r="G22" s="24">
        <f>IF(F$26&gt;0,(F22/F$26)*100,0)</f>
      </c>
    </row>
    <row r="23">
      <c r="A23" s="10" t="s">
        <v>33</v>
      </c>
      <c r="B23" s="23">
        <v>11</v>
      </c>
      <c r="C23" s="24">
        <f>IF(B$26&gt;0,(B23/B$26)*100,0)</f>
      </c>
      <c r="D23" s="25">
        <v>67.91</v>
      </c>
      <c r="E23" s="24">
        <f>IF(D$26&gt;0,(D23/D$26)*100,0)</f>
      </c>
      <c r="F23" s="23">
        <v>9146</v>
      </c>
      <c r="G23" s="24">
        <f>IF(F$26&gt;0,(F23/F$26)*100,0)</f>
      </c>
    </row>
    <row r="24">
      <c r="A24" s="10" t="s">
        <v>52</v>
      </c>
      <c r="B24" s="23">
        <v>1</v>
      </c>
      <c r="C24" s="24">
        <f>IF(B$26&gt;0,(B24/B$26)*100,0)</f>
      </c>
      <c r="D24" s="25">
        <v>7.55</v>
      </c>
      <c r="E24" s="24">
        <f>IF(D$26&gt;0,(D24/D$26)*100,0)</f>
      </c>
      <c r="F24" s="23">
        <v>995</v>
      </c>
      <c r="G24" s="24">
        <f>IF(F$26&gt;0,(F24/F$26)*100,0)</f>
      </c>
    </row>
    <row r="25">
      <c r="A25" s="10" t="s">
        <v>53</v>
      </c>
      <c r="B25" s="23">
        <v>2</v>
      </c>
      <c r="C25" s="24">
        <f>IF(B$26&gt;0,(B25/B$26)*100,0)</f>
      </c>
      <c r="D25" s="25">
        <v>18.73</v>
      </c>
      <c r="E25" s="24">
        <f>IF(D$26&gt;0,(D25/D$26)*100,0)</f>
      </c>
      <c r="F25" s="23">
        <v>6357</v>
      </c>
      <c r="G25" s="24">
        <f>IF(F$26&gt;0,(F25/F$26)*100,0)</f>
      </c>
    </row>
    <row r="26">
      <c r="A26" s="9" t="s">
        <v>11</v>
      </c>
      <c r="B26" s="26">
        <f>SUM(B3:B25)</f>
      </c>
      <c r="C26" s="27">
        <f>SUM(C3:C25)</f>
      </c>
      <c r="D26" s="28">
        <f>SUM(D3:D25)</f>
      </c>
      <c r="E26" s="27">
        <f>SUM(E3:E25)</f>
      </c>
      <c r="F26" s="26">
        <f>SUM(F3:F25)</f>
      </c>
      <c r="G26" s="27">
        <f>SUM(G3:G25)</f>
      </c>
    </row>
  </sheetData>
  <mergeCells>
    <mergeCell ref="A1:S1"/>
    <mergeCell ref="P12:R12"/>
    <mergeCell ref="P13:Q13"/>
    <mergeCell ref="P14:Q14"/>
    <mergeCell ref="P15:Q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0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21" t="s">
        <v>54</v>
      </c>
    </row>
    <row r="2">
      <c r="A2" s="10"/>
      <c r="B2" s="31" t="s">
        <v>55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2" t="s">
        <v>56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3" t="s">
        <v>57</v>
      </c>
      <c r="AA2" s="33" t="s">
        <v>58</v>
      </c>
      <c r="AB2" s="33" t="s">
        <v>59</v>
      </c>
      <c r="AC2" s="33" t="s">
        <v>60</v>
      </c>
    </row>
    <row r="3">
      <c r="A3" s="10"/>
      <c r="B3" s="33" t="s">
        <v>61</v>
      </c>
      <c r="C3" s="10"/>
      <c r="D3" s="10"/>
      <c r="E3" s="10"/>
      <c r="F3" s="10"/>
      <c r="G3" s="10"/>
      <c r="H3" s="33" t="s">
        <v>62</v>
      </c>
      <c r="I3" s="10"/>
      <c r="J3" s="10"/>
      <c r="K3" s="10"/>
      <c r="L3" s="10"/>
      <c r="M3" s="10"/>
      <c r="N3" s="33" t="s">
        <v>61</v>
      </c>
      <c r="O3" s="10"/>
      <c r="P3" s="10"/>
      <c r="Q3" s="10"/>
      <c r="R3" s="10"/>
      <c r="S3" s="10"/>
      <c r="T3" s="33" t="s">
        <v>62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4" t="s">
        <v>44</v>
      </c>
      <c r="C4" s="10"/>
      <c r="D4" s="10"/>
      <c r="E4" s="35" t="s">
        <v>45</v>
      </c>
      <c r="F4" s="10"/>
      <c r="G4" s="10"/>
      <c r="H4" s="34" t="s">
        <v>44</v>
      </c>
      <c r="I4" s="10"/>
      <c r="J4" s="10"/>
      <c r="K4" s="35" t="s">
        <v>45</v>
      </c>
      <c r="L4" s="10"/>
      <c r="M4" s="10"/>
      <c r="N4" s="34" t="s">
        <v>44</v>
      </c>
      <c r="O4" s="10"/>
      <c r="P4" s="10"/>
      <c r="Q4" s="35" t="s">
        <v>45</v>
      </c>
      <c r="R4" s="10"/>
      <c r="S4" s="10"/>
      <c r="T4" s="34" t="s">
        <v>44</v>
      </c>
      <c r="U4" s="10"/>
      <c r="V4" s="10"/>
      <c r="W4" s="35" t="s">
        <v>45</v>
      </c>
      <c r="X4" s="10"/>
      <c r="Y4" s="10"/>
      <c r="Z4" s="10"/>
      <c r="AA4" s="10"/>
      <c r="AB4" s="10"/>
      <c r="AC4" s="10"/>
    </row>
    <row r="5">
      <c r="A5" s="33" t="s">
        <v>4</v>
      </c>
      <c r="B5" s="33" t="s">
        <v>39</v>
      </c>
      <c r="C5" s="33" t="s">
        <v>35</v>
      </c>
      <c r="D5" s="33" t="s">
        <v>40</v>
      </c>
      <c r="E5" s="33" t="s">
        <v>39</v>
      </c>
      <c r="F5" s="33" t="s">
        <v>35</v>
      </c>
      <c r="G5" s="33" t="s">
        <v>40</v>
      </c>
      <c r="H5" s="33" t="s">
        <v>39</v>
      </c>
      <c r="I5" s="33" t="s">
        <v>35</v>
      </c>
      <c r="J5" s="33" t="s">
        <v>40</v>
      </c>
      <c r="K5" s="33" t="s">
        <v>39</v>
      </c>
      <c r="L5" s="33" t="s">
        <v>35</v>
      </c>
      <c r="M5" s="33" t="s">
        <v>40</v>
      </c>
      <c r="N5" s="33" t="s">
        <v>39</v>
      </c>
      <c r="O5" s="33" t="s">
        <v>35</v>
      </c>
      <c r="P5" s="33" t="s">
        <v>40</v>
      </c>
      <c r="Q5" s="33" t="s">
        <v>39</v>
      </c>
      <c r="R5" s="33" t="s">
        <v>35</v>
      </c>
      <c r="S5" s="33" t="s">
        <v>40</v>
      </c>
      <c r="T5" s="33" t="s">
        <v>39</v>
      </c>
      <c r="U5" s="33" t="s">
        <v>35</v>
      </c>
      <c r="V5" s="33" t="s">
        <v>40</v>
      </c>
      <c r="W5" s="33" t="s">
        <v>39</v>
      </c>
      <c r="X5" s="33" t="s">
        <v>35</v>
      </c>
      <c r="Y5" s="33" t="s">
        <v>40</v>
      </c>
      <c r="Z5" s="10"/>
      <c r="AA5" s="10"/>
      <c r="AB5" s="10"/>
      <c r="AC5" s="10"/>
    </row>
    <row r="6">
      <c r="A6" s="3" t="s">
        <v>12</v>
      </c>
      <c r="B6" s="36">
        <v>1928</v>
      </c>
      <c r="C6" s="37">
        <v>2012.88</v>
      </c>
      <c r="D6" s="36">
        <v>183234</v>
      </c>
      <c r="E6" s="36">
        <v>429</v>
      </c>
      <c r="F6" s="37">
        <v>449.79</v>
      </c>
      <c r="G6" s="36">
        <v>37652</v>
      </c>
      <c r="H6" s="36">
        <v>28</v>
      </c>
      <c r="I6" s="37">
        <v>29.42</v>
      </c>
      <c r="J6" s="36">
        <v>2757</v>
      </c>
      <c r="K6" s="36">
        <v>2</v>
      </c>
      <c r="L6" s="37">
        <v>2.13</v>
      </c>
      <c r="M6" s="36">
        <v>196</v>
      </c>
      <c r="N6" s="36">
        <v>1111</v>
      </c>
      <c r="O6" s="37">
        <v>1162.69</v>
      </c>
      <c r="P6" s="36">
        <v>114425</v>
      </c>
      <c r="Q6" s="36">
        <v>9</v>
      </c>
      <c r="R6" s="37">
        <v>9.28</v>
      </c>
      <c r="S6" s="36">
        <v>849</v>
      </c>
      <c r="T6" s="36">
        <v>1</v>
      </c>
      <c r="U6" s="37">
        <v>1.1</v>
      </c>
      <c r="V6" s="36">
        <v>130</v>
      </c>
      <c r="W6" s="10"/>
      <c r="X6" s="10"/>
      <c r="Y6" s="10"/>
      <c r="Z6" s="36">
        <f>SUM(B6,E6,H6,K6,N6,Q6,T6,W6)</f>
      </c>
      <c r="AA6" s="37">
        <f>SUM(C6,F6,I6,L6,O6,R6,U6,X6)</f>
      </c>
      <c r="AB6" s="36">
        <f>SUM(D6,G6,J6,M6,P6,S6,V6,Y6)</f>
      </c>
      <c r="AC6" s="37">
        <f>IF(AA6&gt;0,AB6/AA6,0)</f>
      </c>
    </row>
    <row r="7">
      <c r="A7" s="3" t="s">
        <v>18</v>
      </c>
      <c r="B7" s="36">
        <v>28</v>
      </c>
      <c r="C7" s="37">
        <v>31.95</v>
      </c>
      <c r="D7" s="36">
        <v>2749</v>
      </c>
      <c r="E7" s="36">
        <v>22</v>
      </c>
      <c r="F7" s="37">
        <v>25.26</v>
      </c>
      <c r="G7" s="36">
        <v>2004</v>
      </c>
      <c r="H7" s="36">
        <v>17</v>
      </c>
      <c r="I7" s="37">
        <v>19.46</v>
      </c>
      <c r="J7" s="36">
        <v>1853</v>
      </c>
      <c r="K7" s="10"/>
      <c r="L7" s="10"/>
      <c r="M7" s="10"/>
      <c r="N7" s="36">
        <v>73</v>
      </c>
      <c r="O7" s="37">
        <v>82.53</v>
      </c>
      <c r="P7" s="36">
        <v>8612</v>
      </c>
      <c r="Q7" s="36">
        <v>1</v>
      </c>
      <c r="R7" s="37">
        <v>1.11</v>
      </c>
      <c r="S7" s="36">
        <v>121</v>
      </c>
      <c r="T7" s="10"/>
      <c r="U7" s="10"/>
      <c r="V7" s="10"/>
      <c r="W7" s="10"/>
      <c r="X7" s="10"/>
      <c r="Y7" s="10"/>
      <c r="Z7" s="36">
        <f>SUM(B7,E7,H7,K7,N7,Q7,T7,W7)</f>
      </c>
      <c r="AA7" s="37">
        <f>SUM(C7,F7,I7,L7,O7,R7,U7,X7)</f>
      </c>
      <c r="AB7" s="36">
        <f>SUM(D7,G7,J7,M7,P7,S7,V7,Y7)</f>
      </c>
      <c r="AC7" s="37">
        <f>IF(AA7&gt;0,AB7/AA7,0)</f>
      </c>
    </row>
    <row r="8">
      <c r="A8" s="3" t="s">
        <v>19</v>
      </c>
      <c r="B8" s="36">
        <v>436</v>
      </c>
      <c r="C8" s="37">
        <v>538.02</v>
      </c>
      <c r="D8" s="36">
        <v>46054</v>
      </c>
      <c r="E8" s="36">
        <v>235</v>
      </c>
      <c r="F8" s="37">
        <v>291.89</v>
      </c>
      <c r="G8" s="36">
        <v>22144</v>
      </c>
      <c r="H8" s="36">
        <v>8</v>
      </c>
      <c r="I8" s="37">
        <v>10.16</v>
      </c>
      <c r="J8" s="36">
        <v>974</v>
      </c>
      <c r="K8" s="36">
        <v>1</v>
      </c>
      <c r="L8" s="37">
        <v>1.23</v>
      </c>
      <c r="M8" s="36">
        <v>112</v>
      </c>
      <c r="N8" s="36">
        <v>22</v>
      </c>
      <c r="O8" s="37">
        <v>27.61</v>
      </c>
      <c r="P8" s="36">
        <v>2630</v>
      </c>
      <c r="Q8" s="10"/>
      <c r="R8" s="10"/>
      <c r="S8" s="10"/>
      <c r="T8" s="10"/>
      <c r="U8" s="10"/>
      <c r="V8" s="10"/>
      <c r="W8" s="10"/>
      <c r="X8" s="10"/>
      <c r="Y8" s="10"/>
      <c r="Z8" s="36">
        <f>SUM(B8,E8,H8,K8,N8,Q8,T8,W8)</f>
      </c>
      <c r="AA8" s="37">
        <f>SUM(C8,F8,I8,L8,O8,R8,U8,X8)</f>
      </c>
      <c r="AB8" s="36">
        <f>SUM(D8,G8,J8,M8,P8,S8,V8,Y8)</f>
      </c>
      <c r="AC8" s="37">
        <f>IF(AA8&gt;0,AB8/AA8,0)</f>
      </c>
    </row>
    <row r="9">
      <c r="A9" s="3" t="s">
        <v>21</v>
      </c>
      <c r="B9" s="36">
        <v>8</v>
      </c>
      <c r="C9" s="37">
        <v>11.22</v>
      </c>
      <c r="D9" s="36">
        <v>912</v>
      </c>
      <c r="E9" s="36">
        <v>2</v>
      </c>
      <c r="F9" s="37">
        <v>2.75</v>
      </c>
      <c r="G9" s="36">
        <v>228</v>
      </c>
      <c r="H9" s="36">
        <v>15</v>
      </c>
      <c r="I9" s="37">
        <v>21.1</v>
      </c>
      <c r="J9" s="36">
        <v>1943</v>
      </c>
      <c r="K9" s="36">
        <v>1</v>
      </c>
      <c r="L9" s="37">
        <v>1.46</v>
      </c>
      <c r="M9" s="36">
        <v>137</v>
      </c>
      <c r="N9" s="36">
        <v>24</v>
      </c>
      <c r="O9" s="37">
        <v>32.73</v>
      </c>
      <c r="P9" s="36">
        <v>3315</v>
      </c>
      <c r="Q9" s="10"/>
      <c r="R9" s="10"/>
      <c r="S9" s="10"/>
      <c r="T9" s="10"/>
      <c r="U9" s="10"/>
      <c r="V9" s="10"/>
      <c r="W9" s="10"/>
      <c r="X9" s="10"/>
      <c r="Y9" s="10"/>
      <c r="Z9" s="36">
        <f>SUM(B9,E9,H9,K9,N9,Q9,T9,W9)</f>
      </c>
      <c r="AA9" s="37">
        <f>SUM(C9,F9,I9,L9,O9,R9,U9,X9)</f>
      </c>
      <c r="AB9" s="36">
        <f>SUM(D9,G9,J9,M9,P9,S9,V9,Y9)</f>
      </c>
      <c r="AC9" s="37">
        <f>IF(AA9&gt;0,AB9/AA9,0)</f>
      </c>
    </row>
    <row r="10">
      <c r="A10" s="3" t="s">
        <v>22</v>
      </c>
      <c r="B10" s="36">
        <v>1179</v>
      </c>
      <c r="C10" s="37">
        <v>1803.19</v>
      </c>
      <c r="D10" s="36">
        <v>166942</v>
      </c>
      <c r="E10" s="36">
        <v>18</v>
      </c>
      <c r="F10" s="37">
        <v>27.35</v>
      </c>
      <c r="G10" s="36">
        <v>2398</v>
      </c>
      <c r="H10" s="36">
        <v>16</v>
      </c>
      <c r="I10" s="37">
        <v>24.51</v>
      </c>
      <c r="J10" s="36">
        <v>2431</v>
      </c>
      <c r="K10" s="36">
        <v>2</v>
      </c>
      <c r="L10" s="37">
        <v>3.1</v>
      </c>
      <c r="M10" s="36">
        <v>296</v>
      </c>
      <c r="N10" s="36">
        <v>678</v>
      </c>
      <c r="O10" s="37">
        <v>1034.45</v>
      </c>
      <c r="P10" s="36">
        <v>102769</v>
      </c>
      <c r="Q10" s="36">
        <v>2</v>
      </c>
      <c r="R10" s="37">
        <v>3.1</v>
      </c>
      <c r="S10" s="36">
        <v>226</v>
      </c>
      <c r="T10" s="36">
        <v>2</v>
      </c>
      <c r="U10" s="37">
        <v>3.1</v>
      </c>
      <c r="V10" s="36">
        <v>365</v>
      </c>
      <c r="W10" s="10"/>
      <c r="X10" s="10"/>
      <c r="Y10" s="10"/>
      <c r="Z10" s="36">
        <f>SUM(B10,E10,H10,K10,N10,Q10,T10,W10)</f>
      </c>
      <c r="AA10" s="37">
        <f>SUM(C10,F10,I10,L10,O10,R10,U10,X10)</f>
      </c>
      <c r="AB10" s="36">
        <f>SUM(D10,G10,J10,M10,P10,S10,V10,Y10)</f>
      </c>
      <c r="AC10" s="37">
        <f>IF(AA10&gt;0,AB10/AA10,0)</f>
      </c>
    </row>
    <row r="11">
      <c r="A11" s="3" t="s">
        <v>23</v>
      </c>
      <c r="B11" s="36">
        <v>19</v>
      </c>
      <c r="C11" s="37">
        <v>30.57</v>
      </c>
      <c r="D11" s="36">
        <v>2640</v>
      </c>
      <c r="E11" s="36">
        <v>2</v>
      </c>
      <c r="F11" s="37">
        <v>3.21</v>
      </c>
      <c r="G11" s="36">
        <v>233</v>
      </c>
      <c r="H11" s="36">
        <v>9</v>
      </c>
      <c r="I11" s="37">
        <v>14.78</v>
      </c>
      <c r="J11" s="36">
        <v>1444</v>
      </c>
      <c r="K11" s="10"/>
      <c r="L11" s="10"/>
      <c r="M11" s="10"/>
      <c r="N11" s="36">
        <v>17</v>
      </c>
      <c r="O11" s="37">
        <v>27.43</v>
      </c>
      <c r="P11" s="36">
        <v>2825</v>
      </c>
      <c r="Q11" s="10"/>
      <c r="R11" s="10"/>
      <c r="S11" s="10"/>
      <c r="T11" s="10"/>
      <c r="U11" s="10"/>
      <c r="V11" s="10"/>
      <c r="W11" s="10"/>
      <c r="X11" s="10"/>
      <c r="Y11" s="10"/>
      <c r="Z11" s="36">
        <f>SUM(B11,E11,H11,K11,N11,Q11,T11,W11)</f>
      </c>
      <c r="AA11" s="37">
        <f>SUM(C11,F11,I11,L11,O11,R11,U11,X11)</f>
      </c>
      <c r="AB11" s="36">
        <f>SUM(D11,G11,J11,M11,P11,S11,V11,Y11)</f>
      </c>
      <c r="AC11" s="37">
        <f>IF(AA11&gt;0,AB11/AA11,0)</f>
      </c>
    </row>
    <row r="12">
      <c r="A12" s="3" t="s">
        <v>24</v>
      </c>
      <c r="B12" s="10"/>
      <c r="C12" s="10"/>
      <c r="D12" s="10"/>
      <c r="E12" s="10"/>
      <c r="F12" s="10"/>
      <c r="G12" s="10"/>
      <c r="H12" s="36">
        <v>20</v>
      </c>
      <c r="I12" s="37">
        <v>35.97</v>
      </c>
      <c r="J12" s="36">
        <v>3417</v>
      </c>
      <c r="K12" s="36">
        <v>2</v>
      </c>
      <c r="L12" s="37">
        <v>3.54</v>
      </c>
      <c r="M12" s="36">
        <v>362</v>
      </c>
      <c r="N12" s="36">
        <v>40</v>
      </c>
      <c r="O12" s="37">
        <v>71.97</v>
      </c>
      <c r="P12" s="36">
        <v>7270</v>
      </c>
      <c r="Q12" s="36">
        <v>1</v>
      </c>
      <c r="R12" s="37">
        <v>1.97</v>
      </c>
      <c r="S12" s="36">
        <v>217</v>
      </c>
      <c r="T12" s="36">
        <v>1</v>
      </c>
      <c r="U12" s="37">
        <v>1.9</v>
      </c>
      <c r="V12" s="36">
        <v>229</v>
      </c>
      <c r="W12" s="10"/>
      <c r="X12" s="10"/>
      <c r="Y12" s="10"/>
      <c r="Z12" s="36">
        <f>SUM(B12,E12,H12,K12,N12,Q12,T12,W12)</f>
      </c>
      <c r="AA12" s="37">
        <f>SUM(C12,F12,I12,L12,O12,R12,U12,X12)</f>
      </c>
      <c r="AB12" s="36">
        <f>SUM(D12,G12,J12,M12,P12,S12,V12,Y12)</f>
      </c>
      <c r="AC12" s="37">
        <f>IF(AA12&gt;0,AB12/AA12,0)</f>
      </c>
    </row>
    <row r="13">
      <c r="A13" s="3" t="s">
        <v>25</v>
      </c>
      <c r="B13" s="36">
        <v>73</v>
      </c>
      <c r="C13" s="37">
        <v>148.55</v>
      </c>
      <c r="D13" s="36">
        <v>14200</v>
      </c>
      <c r="E13" s="10"/>
      <c r="F13" s="10"/>
      <c r="G13" s="10"/>
      <c r="H13" s="36">
        <v>12</v>
      </c>
      <c r="I13" s="37">
        <v>24.74</v>
      </c>
      <c r="J13" s="36">
        <v>2971</v>
      </c>
      <c r="K13" s="10"/>
      <c r="L13" s="10"/>
      <c r="M13" s="10"/>
      <c r="N13" s="36">
        <v>197</v>
      </c>
      <c r="O13" s="37">
        <v>400.97</v>
      </c>
      <c r="P13" s="36">
        <v>41996</v>
      </c>
      <c r="Q13" s="10"/>
      <c r="R13" s="10"/>
      <c r="S13" s="10"/>
      <c r="T13" s="36">
        <v>5</v>
      </c>
      <c r="U13" s="37">
        <v>10.2</v>
      </c>
      <c r="V13" s="36">
        <v>1360</v>
      </c>
      <c r="W13" s="10"/>
      <c r="X13" s="10"/>
      <c r="Y13" s="10"/>
      <c r="Z13" s="36">
        <f>SUM(B13,E13,H13,K13,N13,Q13,T13,W13)</f>
      </c>
      <c r="AA13" s="37">
        <f>SUM(C13,F13,I13,L13,O13,R13,U13,X13)</f>
      </c>
      <c r="AB13" s="36">
        <f>SUM(D13,G13,J13,M13,P13,S13,V13,Y13)</f>
      </c>
      <c r="AC13" s="37">
        <f>IF(AA13&gt;0,AB13/AA13,0)</f>
      </c>
    </row>
    <row r="14">
      <c r="A14" s="3" t="s">
        <v>26</v>
      </c>
      <c r="B14" s="36">
        <v>1</v>
      </c>
      <c r="C14" s="37">
        <v>2.11</v>
      </c>
      <c r="D14" s="36">
        <v>211</v>
      </c>
      <c r="E14" s="10"/>
      <c r="F14" s="10"/>
      <c r="G14" s="10"/>
      <c r="H14" s="36">
        <v>14</v>
      </c>
      <c r="I14" s="37">
        <v>30.53</v>
      </c>
      <c r="J14" s="36">
        <v>3439</v>
      </c>
      <c r="K14" s="10"/>
      <c r="L14" s="10"/>
      <c r="M14" s="10"/>
      <c r="N14" s="36">
        <v>26</v>
      </c>
      <c r="O14" s="37">
        <v>57.42</v>
      </c>
      <c r="P14" s="36">
        <v>6216</v>
      </c>
      <c r="Q14" s="10"/>
      <c r="R14" s="10"/>
      <c r="S14" s="10"/>
      <c r="T14" s="36">
        <v>3</v>
      </c>
      <c r="U14" s="37">
        <v>6.69</v>
      </c>
      <c r="V14" s="36">
        <v>1115</v>
      </c>
      <c r="W14" s="10"/>
      <c r="X14" s="10"/>
      <c r="Y14" s="10"/>
      <c r="Z14" s="36">
        <f>SUM(B14,E14,H14,K14,N14,Q14,T14,W14)</f>
      </c>
      <c r="AA14" s="37">
        <f>SUM(C14,F14,I14,L14,O14,R14,U14,X14)</f>
      </c>
      <c r="AB14" s="36">
        <f>SUM(D14,G14,J14,M14,P14,S14,V14,Y14)</f>
      </c>
      <c r="AC14" s="37">
        <f>IF(AA14&gt;0,AB14/AA14,0)</f>
      </c>
    </row>
    <row r="15">
      <c r="A15" s="3" t="s">
        <v>27</v>
      </c>
      <c r="B15" s="36">
        <v>15</v>
      </c>
      <c r="C15" s="37">
        <v>38.15</v>
      </c>
      <c r="D15" s="36">
        <v>3184</v>
      </c>
      <c r="E15" s="36">
        <v>1</v>
      </c>
      <c r="F15" s="37">
        <v>2.5</v>
      </c>
      <c r="G15" s="36">
        <v>180</v>
      </c>
      <c r="H15" s="36">
        <v>14</v>
      </c>
      <c r="I15" s="37">
        <v>35.79</v>
      </c>
      <c r="J15" s="36">
        <v>3993</v>
      </c>
      <c r="K15" s="10"/>
      <c r="L15" s="10"/>
      <c r="M15" s="10"/>
      <c r="N15" s="36">
        <v>21</v>
      </c>
      <c r="O15" s="37">
        <v>52.92</v>
      </c>
      <c r="P15" s="36">
        <v>5720</v>
      </c>
      <c r="Q15" s="10"/>
      <c r="R15" s="10"/>
      <c r="S15" s="10"/>
      <c r="T15" s="36">
        <v>2</v>
      </c>
      <c r="U15" s="37">
        <v>5.09</v>
      </c>
      <c r="V15" s="36">
        <v>677</v>
      </c>
      <c r="W15" s="10"/>
      <c r="X15" s="10"/>
      <c r="Y15" s="10"/>
      <c r="Z15" s="36">
        <f>SUM(B15,E15,H15,K15,N15,Q15,T15,W15)</f>
      </c>
      <c r="AA15" s="37">
        <f>SUM(C15,F15,I15,L15,O15,R15,U15,X15)</f>
      </c>
      <c r="AB15" s="36">
        <f>SUM(D15,G15,J15,M15,P15,S15,V15,Y15)</f>
      </c>
      <c r="AC15" s="37">
        <f>IF(AA15&gt;0,AB15/AA15,0)</f>
      </c>
    </row>
    <row r="16">
      <c r="A16" s="3" t="s">
        <v>28</v>
      </c>
      <c r="B16" s="36">
        <v>1</v>
      </c>
      <c r="C16" s="37">
        <v>2.61</v>
      </c>
      <c r="D16" s="36">
        <v>149</v>
      </c>
      <c r="E16" s="10"/>
      <c r="F16" s="10"/>
      <c r="G16" s="10"/>
      <c r="H16" s="36">
        <v>6</v>
      </c>
      <c r="I16" s="37">
        <v>16.22</v>
      </c>
      <c r="J16" s="36">
        <v>1922</v>
      </c>
      <c r="K16" s="10"/>
      <c r="L16" s="10"/>
      <c r="M16" s="10"/>
      <c r="N16" s="36">
        <v>2</v>
      </c>
      <c r="O16" s="37">
        <v>5.84</v>
      </c>
      <c r="P16" s="36">
        <v>720</v>
      </c>
      <c r="Q16" s="36">
        <v>1</v>
      </c>
      <c r="R16" s="37">
        <v>2.97</v>
      </c>
      <c r="S16" s="36">
        <v>297</v>
      </c>
      <c r="T16" s="36">
        <v>1</v>
      </c>
      <c r="U16" s="37">
        <v>2.99</v>
      </c>
      <c r="V16" s="36">
        <v>605</v>
      </c>
      <c r="W16" s="36">
        <v>1</v>
      </c>
      <c r="X16" s="37">
        <v>2.82</v>
      </c>
      <c r="Y16" s="36">
        <v>535</v>
      </c>
      <c r="Z16" s="36">
        <f>SUM(B16,E16,H16,K16,N16,Q16,T16,W16)</f>
      </c>
      <c r="AA16" s="37">
        <f>SUM(C16,F16,I16,L16,O16,R16,U16,X16)</f>
      </c>
      <c r="AB16" s="36">
        <f>SUM(D16,G16,J16,M16,P16,S16,V16,Y16)</f>
      </c>
      <c r="AC16" s="37">
        <f>IF(AA16&gt;0,AB16/AA16,0)</f>
      </c>
    </row>
    <row r="17">
      <c r="A17" s="3" t="s">
        <v>29</v>
      </c>
      <c r="B17" s="36">
        <v>16</v>
      </c>
      <c r="C17" s="37">
        <v>48.68</v>
      </c>
      <c r="D17" s="36">
        <v>4089</v>
      </c>
      <c r="E17" s="10"/>
      <c r="F17" s="10"/>
      <c r="G17" s="10"/>
      <c r="H17" s="36">
        <v>3</v>
      </c>
      <c r="I17" s="37">
        <v>9.11</v>
      </c>
      <c r="J17" s="36">
        <v>1157</v>
      </c>
      <c r="K17" s="36">
        <v>2</v>
      </c>
      <c r="L17" s="37">
        <v>6.06</v>
      </c>
      <c r="M17" s="36">
        <v>718</v>
      </c>
      <c r="N17" s="36">
        <v>47</v>
      </c>
      <c r="O17" s="37">
        <v>143.32</v>
      </c>
      <c r="P17" s="36">
        <v>15991</v>
      </c>
      <c r="Q17" s="36">
        <v>1</v>
      </c>
      <c r="R17" s="37">
        <v>3.02</v>
      </c>
      <c r="S17" s="36">
        <v>308</v>
      </c>
      <c r="T17" s="36">
        <v>3</v>
      </c>
      <c r="U17" s="37">
        <v>9.09</v>
      </c>
      <c r="V17" s="36">
        <v>1510</v>
      </c>
      <c r="W17" s="10"/>
      <c r="X17" s="10"/>
      <c r="Y17" s="10"/>
      <c r="Z17" s="36">
        <f>SUM(B17,E17,H17,K17,N17,Q17,T17,W17)</f>
      </c>
      <c r="AA17" s="37">
        <f>SUM(C17,F17,I17,L17,O17,R17,U17,X17)</f>
      </c>
      <c r="AB17" s="36">
        <f>SUM(D17,G17,J17,M17,P17,S17,V17,Y17)</f>
      </c>
      <c r="AC17" s="37">
        <f>IF(AA17&gt;0,AB17/AA17,0)</f>
      </c>
    </row>
    <row r="18">
      <c r="A18" s="3" t="s">
        <v>46</v>
      </c>
      <c r="B18" s="10"/>
      <c r="C18" s="10"/>
      <c r="D18" s="10"/>
      <c r="E18" s="10"/>
      <c r="F18" s="10"/>
      <c r="G18" s="10"/>
      <c r="H18" s="36">
        <v>14</v>
      </c>
      <c r="I18" s="37">
        <v>44.82</v>
      </c>
      <c r="J18" s="36">
        <v>5558</v>
      </c>
      <c r="K18" s="36">
        <v>1</v>
      </c>
      <c r="L18" s="37">
        <v>3.39</v>
      </c>
      <c r="M18" s="36">
        <v>407</v>
      </c>
      <c r="N18" s="36">
        <v>6</v>
      </c>
      <c r="O18" s="37">
        <v>18.82</v>
      </c>
      <c r="P18" s="36">
        <v>2299</v>
      </c>
      <c r="Q18" s="10"/>
      <c r="R18" s="10"/>
      <c r="S18" s="10"/>
      <c r="T18" s="10"/>
      <c r="U18" s="10"/>
      <c r="V18" s="10"/>
      <c r="W18" s="10"/>
      <c r="X18" s="10"/>
      <c r="Y18" s="10"/>
      <c r="Z18" s="36">
        <f>SUM(B18,E18,H18,K18,N18,Q18,T18,W18)</f>
      </c>
      <c r="AA18" s="37">
        <f>SUM(C18,F18,I18,L18,O18,R18,U18,X18)</f>
      </c>
      <c r="AB18" s="36">
        <f>SUM(D18,G18,J18,M18,P18,S18,V18,Y18)</f>
      </c>
      <c r="AC18" s="37">
        <f>IF(AA18&gt;0,AB18/AA18,0)</f>
      </c>
    </row>
    <row r="19">
      <c r="A19" s="3" t="s">
        <v>30</v>
      </c>
      <c r="B19" s="36">
        <v>5</v>
      </c>
      <c r="C19" s="37">
        <v>17.73</v>
      </c>
      <c r="D19" s="36">
        <v>1533</v>
      </c>
      <c r="E19" s="10"/>
      <c r="F19" s="10"/>
      <c r="G19" s="10"/>
      <c r="H19" s="36">
        <v>2</v>
      </c>
      <c r="I19" s="37">
        <v>7.11</v>
      </c>
      <c r="J19" s="36">
        <v>902</v>
      </c>
      <c r="K19" s="10"/>
      <c r="L19" s="10"/>
      <c r="M19" s="10"/>
      <c r="N19" s="36">
        <v>12</v>
      </c>
      <c r="O19" s="37">
        <v>42.5</v>
      </c>
      <c r="P19" s="36">
        <v>5149</v>
      </c>
      <c r="Q19" s="10"/>
      <c r="R19" s="10"/>
      <c r="S19" s="10"/>
      <c r="T19" s="10"/>
      <c r="U19" s="10"/>
      <c r="V19" s="10"/>
      <c r="W19" s="10"/>
      <c r="X19" s="10"/>
      <c r="Y19" s="10"/>
      <c r="Z19" s="36">
        <f>SUM(B19,E19,H19,K19,N19,Q19,T19,W19)</f>
      </c>
      <c r="AA19" s="37">
        <f>SUM(C19,F19,I19,L19,O19,R19,U19,X19)</f>
      </c>
      <c r="AB19" s="36">
        <f>SUM(D19,G19,J19,M19,P19,S19,V19,Y19)</f>
      </c>
      <c r="AC19" s="37">
        <f>IF(AA19&gt;0,AB19/AA19,0)</f>
      </c>
    </row>
    <row r="20">
      <c r="A20" s="3" t="s">
        <v>48</v>
      </c>
      <c r="B20" s="10"/>
      <c r="C20" s="10"/>
      <c r="D20" s="10"/>
      <c r="E20" s="10"/>
      <c r="F20" s="10"/>
      <c r="G20" s="10"/>
      <c r="H20" s="36">
        <v>2</v>
      </c>
      <c r="I20" s="37">
        <v>7.34</v>
      </c>
      <c r="J20" s="36">
        <v>851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6">
        <f>SUM(B20,E20,H20,K20,N20,Q20,T20,W20)</f>
      </c>
      <c r="AA20" s="37">
        <f>SUM(C20,F20,I20,L20,O20,R20,U20,X20)</f>
      </c>
      <c r="AB20" s="36">
        <f>SUM(D20,G20,J20,M20,P20,S20,V20,Y20)</f>
      </c>
      <c r="AC20" s="37">
        <f>IF(AA20&gt;0,AB20/AA20,0)</f>
      </c>
    </row>
    <row r="21">
      <c r="A21" s="3" t="s">
        <v>31</v>
      </c>
      <c r="B21" s="36">
        <v>5</v>
      </c>
      <c r="C21" s="37">
        <v>20.32</v>
      </c>
      <c r="D21" s="36">
        <v>1336</v>
      </c>
      <c r="E21" s="10"/>
      <c r="F21" s="10"/>
      <c r="G21" s="10"/>
      <c r="H21" s="36">
        <v>4</v>
      </c>
      <c r="I21" s="37">
        <v>16.21</v>
      </c>
      <c r="J21" s="36">
        <v>1848</v>
      </c>
      <c r="K21" s="10"/>
      <c r="L21" s="10"/>
      <c r="M21" s="10"/>
      <c r="N21" s="36">
        <v>7</v>
      </c>
      <c r="O21" s="37">
        <v>28.33</v>
      </c>
      <c r="P21" s="36">
        <v>3445</v>
      </c>
      <c r="Q21" s="10"/>
      <c r="R21" s="10"/>
      <c r="S21" s="10"/>
      <c r="T21" s="10"/>
      <c r="U21" s="10"/>
      <c r="V21" s="10"/>
      <c r="W21" s="10"/>
      <c r="X21" s="10"/>
      <c r="Y21" s="10"/>
      <c r="Z21" s="36">
        <f>SUM(B21,E21,H21,K21,N21,Q21,T21,W21)</f>
      </c>
      <c r="AA21" s="37">
        <f>SUM(C21,F21,I21,L21,O21,R21,U21,X21)</f>
      </c>
      <c r="AB21" s="36">
        <f>SUM(D21,G21,J21,M21,P21,S21,V21,Y21)</f>
      </c>
      <c r="AC21" s="37">
        <f>IF(AA21&gt;0,AB21/AA21,0)</f>
      </c>
    </row>
    <row r="22">
      <c r="A22" s="3" t="s">
        <v>49</v>
      </c>
      <c r="B22" s="10"/>
      <c r="C22" s="10"/>
      <c r="D22" s="10"/>
      <c r="E22" s="10"/>
      <c r="F22" s="10"/>
      <c r="G22" s="10"/>
      <c r="H22" s="36">
        <v>3</v>
      </c>
      <c r="I22" s="37">
        <v>12.74</v>
      </c>
      <c r="J22" s="36">
        <v>1550</v>
      </c>
      <c r="K22" s="10"/>
      <c r="L22" s="10"/>
      <c r="M22" s="10"/>
      <c r="N22" s="36">
        <v>3</v>
      </c>
      <c r="O22" s="37">
        <v>12.41</v>
      </c>
      <c r="P22" s="36">
        <v>1416</v>
      </c>
      <c r="Q22" s="10"/>
      <c r="R22" s="10"/>
      <c r="S22" s="10"/>
      <c r="T22" s="36">
        <v>1</v>
      </c>
      <c r="U22" s="37">
        <v>4.44</v>
      </c>
      <c r="V22" s="36">
        <v>705</v>
      </c>
      <c r="W22" s="10"/>
      <c r="X22" s="10"/>
      <c r="Y22" s="10"/>
      <c r="Z22" s="36">
        <f>SUM(B22,E22,H22,K22,N22,Q22,T22,W22)</f>
      </c>
      <c r="AA22" s="37">
        <f>SUM(C22,F22,I22,L22,O22,R22,U22,X22)</f>
      </c>
      <c r="AB22" s="36">
        <f>SUM(D22,G22,J22,M22,P22,S22,V22,Y22)</f>
      </c>
      <c r="AC22" s="37">
        <f>IF(AA22&gt;0,AB22/AA22,0)</f>
      </c>
    </row>
    <row r="23">
      <c r="A23" s="3" t="s">
        <v>50</v>
      </c>
      <c r="B23" s="10"/>
      <c r="C23" s="10"/>
      <c r="D23" s="10"/>
      <c r="E23" s="10"/>
      <c r="F23" s="10"/>
      <c r="G23" s="10"/>
      <c r="H23" s="36">
        <v>4</v>
      </c>
      <c r="I23" s="37">
        <v>19.07</v>
      </c>
      <c r="J23" s="36">
        <v>2409</v>
      </c>
      <c r="K23" s="10"/>
      <c r="L23" s="10"/>
      <c r="M23" s="10"/>
      <c r="N23" s="36">
        <v>4</v>
      </c>
      <c r="O23" s="37">
        <v>18.69</v>
      </c>
      <c r="P23" s="36">
        <v>1823</v>
      </c>
      <c r="Q23" s="36">
        <v>1</v>
      </c>
      <c r="R23" s="37">
        <v>4.97</v>
      </c>
      <c r="S23" s="36">
        <v>547</v>
      </c>
      <c r="T23" s="36">
        <v>1</v>
      </c>
      <c r="U23" s="37">
        <v>4.66</v>
      </c>
      <c r="V23" s="36">
        <v>1145</v>
      </c>
      <c r="W23" s="10"/>
      <c r="X23" s="10"/>
      <c r="Y23" s="10"/>
      <c r="Z23" s="36">
        <f>SUM(B23,E23,H23,K23,N23,Q23,T23,W23)</f>
      </c>
      <c r="AA23" s="37">
        <f>SUM(C23,F23,I23,L23,O23,R23,U23,X23)</f>
      </c>
      <c r="AB23" s="36">
        <f>SUM(D23,G23,J23,M23,P23,S23,V23,Y23)</f>
      </c>
      <c r="AC23" s="37">
        <f>IF(AA23&gt;0,AB23/AA23,0)</f>
      </c>
    </row>
    <row r="24">
      <c r="A24" s="3" t="s">
        <v>32</v>
      </c>
      <c r="B24" s="36">
        <v>2</v>
      </c>
      <c r="C24" s="37">
        <v>10.1</v>
      </c>
      <c r="D24" s="36">
        <v>782</v>
      </c>
      <c r="E24" s="10"/>
      <c r="F24" s="10"/>
      <c r="G24" s="10"/>
      <c r="H24" s="36">
        <v>5</v>
      </c>
      <c r="I24" s="37">
        <v>25.31</v>
      </c>
      <c r="J24" s="36">
        <v>2986</v>
      </c>
      <c r="K24" s="10"/>
      <c r="L24" s="10"/>
      <c r="M24" s="10"/>
      <c r="N24" s="36">
        <v>37</v>
      </c>
      <c r="O24" s="37">
        <v>187.06</v>
      </c>
      <c r="P24" s="36">
        <v>20723</v>
      </c>
      <c r="Q24" s="36">
        <v>5</v>
      </c>
      <c r="R24" s="37">
        <v>25.13</v>
      </c>
      <c r="S24" s="36">
        <v>2131</v>
      </c>
      <c r="T24" s="36">
        <v>4</v>
      </c>
      <c r="U24" s="37">
        <v>20.14</v>
      </c>
      <c r="V24" s="36">
        <v>3590</v>
      </c>
      <c r="W24" s="36">
        <v>1</v>
      </c>
      <c r="X24" s="37">
        <v>5.01</v>
      </c>
      <c r="Y24" s="36">
        <v>891</v>
      </c>
      <c r="Z24" s="36">
        <f>SUM(B24,E24,H24,K24,N24,Q24,T24,W24)</f>
      </c>
      <c r="AA24" s="37">
        <f>SUM(C24,F24,I24,L24,O24,R24,U24,X24)</f>
      </c>
      <c r="AB24" s="36">
        <f>SUM(D24,G24,J24,M24,P24,S24,V24,Y24)</f>
      </c>
      <c r="AC24" s="37">
        <f>IF(AA24&gt;0,AB24/AA24,0)</f>
      </c>
    </row>
    <row r="25">
      <c r="A25" s="3" t="s">
        <v>51</v>
      </c>
      <c r="B25" s="10"/>
      <c r="C25" s="10"/>
      <c r="D25" s="10"/>
      <c r="E25" s="10"/>
      <c r="F25" s="10"/>
      <c r="G25" s="10"/>
      <c r="H25" s="36">
        <v>8</v>
      </c>
      <c r="I25" s="37">
        <v>42.68</v>
      </c>
      <c r="J25" s="36">
        <v>5443</v>
      </c>
      <c r="K25" s="10"/>
      <c r="L25" s="10"/>
      <c r="M25" s="10"/>
      <c r="N25" s="36">
        <v>5</v>
      </c>
      <c r="O25" s="37">
        <v>26.39</v>
      </c>
      <c r="P25" s="36">
        <v>2950</v>
      </c>
      <c r="Q25" s="10"/>
      <c r="R25" s="10"/>
      <c r="S25" s="10"/>
      <c r="T25" s="36">
        <v>1</v>
      </c>
      <c r="U25" s="37">
        <v>5.11</v>
      </c>
      <c r="V25" s="36">
        <v>1719</v>
      </c>
      <c r="W25" s="10"/>
      <c r="X25" s="10"/>
      <c r="Y25" s="10"/>
      <c r="Z25" s="36">
        <f>SUM(B25,E25,H25,K25,N25,Q25,T25,W25)</f>
      </c>
      <c r="AA25" s="37">
        <f>SUM(C25,F25,I25,L25,O25,R25,U25,X25)</f>
      </c>
      <c r="AB25" s="36">
        <f>SUM(D25,G25,J25,M25,P25,S25,V25,Y25)</f>
      </c>
      <c r="AC25" s="37">
        <f>IF(AA25&gt;0,AB25/AA25,0)</f>
      </c>
    </row>
    <row r="26">
      <c r="A26" s="3" t="s">
        <v>33</v>
      </c>
      <c r="B26" s="36">
        <v>1</v>
      </c>
      <c r="C26" s="37">
        <v>6.86</v>
      </c>
      <c r="D26" s="36">
        <v>425</v>
      </c>
      <c r="E26" s="10"/>
      <c r="F26" s="10"/>
      <c r="G26" s="10"/>
      <c r="H26" s="36">
        <v>6</v>
      </c>
      <c r="I26" s="37">
        <v>36.69</v>
      </c>
      <c r="J26" s="36">
        <v>4767</v>
      </c>
      <c r="K26" s="10"/>
      <c r="L26" s="10"/>
      <c r="M26" s="10"/>
      <c r="N26" s="36">
        <v>3</v>
      </c>
      <c r="O26" s="37">
        <v>18.3</v>
      </c>
      <c r="P26" s="36">
        <v>1892</v>
      </c>
      <c r="Q26" s="10"/>
      <c r="R26" s="10"/>
      <c r="S26" s="10"/>
      <c r="T26" s="36">
        <v>1</v>
      </c>
      <c r="U26" s="37">
        <v>6.06</v>
      </c>
      <c r="V26" s="36">
        <v>2062</v>
      </c>
      <c r="W26" s="10"/>
      <c r="X26" s="10"/>
      <c r="Y26" s="10"/>
      <c r="Z26" s="36">
        <f>SUM(B26,E26,H26,K26,N26,Q26,T26,W26)</f>
      </c>
      <c r="AA26" s="37">
        <f>SUM(C26,F26,I26,L26,O26,R26,U26,X26)</f>
      </c>
      <c r="AB26" s="36">
        <f>SUM(D26,G26,J26,M26,P26,S26,V26,Y26)</f>
      </c>
      <c r="AC26" s="37">
        <f>IF(AA26&gt;0,AB26/AA26,0)</f>
      </c>
    </row>
    <row r="27">
      <c r="A27" s="3" t="s">
        <v>52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6">
        <v>1</v>
      </c>
      <c r="O27" s="37">
        <v>7.55</v>
      </c>
      <c r="P27" s="36">
        <v>995</v>
      </c>
      <c r="Q27" s="10"/>
      <c r="R27" s="10"/>
      <c r="S27" s="10"/>
      <c r="T27" s="10"/>
      <c r="U27" s="10"/>
      <c r="V27" s="10"/>
      <c r="W27" s="10"/>
      <c r="X27" s="10"/>
      <c r="Y27" s="10"/>
      <c r="Z27" s="36">
        <f>SUM(B27,E27,H27,K27,N27,Q27,T27,W27)</f>
      </c>
      <c r="AA27" s="37">
        <f>SUM(C27,F27,I27,L27,O27,R27,U27,X27)</f>
      </c>
      <c r="AB27" s="36">
        <f>SUM(D27,G27,J27,M27,P27,S27,V27,Y27)</f>
      </c>
      <c r="AC27" s="37">
        <f>IF(AA27&gt;0,AB27/AA27,0)</f>
      </c>
    </row>
    <row r="28">
      <c r="A28" s="3" t="s">
        <v>53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36">
        <v>2</v>
      </c>
      <c r="U28" s="37">
        <v>18.73</v>
      </c>
      <c r="V28" s="36">
        <v>6357</v>
      </c>
      <c r="W28" s="10"/>
      <c r="X28" s="10"/>
      <c r="Y28" s="10"/>
      <c r="Z28" s="36">
        <f>SUM(B28,E28,H28,K28,N28,Q28,T28,W28)</f>
      </c>
      <c r="AA28" s="37">
        <f>SUM(C28,F28,I28,L28,O28,R28,U28,X28)</f>
      </c>
      <c r="AB28" s="36">
        <f>SUM(D28,G28,J28,M28,P28,S28,V28,Y28)</f>
      </c>
      <c r="AC28" s="37">
        <f>IF(AA28&gt;0,AB28/AA28,0)</f>
      </c>
    </row>
    <row r="29">
      <c r="A29" s="38" t="s">
        <v>63</v>
      </c>
      <c r="B29" s="39">
        <f>SUM(B6:B28)</f>
      </c>
      <c r="C29" s="39">
        <f>SUM(C6:C28)</f>
      </c>
      <c r="D29" s="40">
        <f>SUM(D6:D28)</f>
      </c>
      <c r="E29" s="39">
        <f>SUM(E6:E28)</f>
      </c>
      <c r="F29" s="39">
        <f>SUM(F6:F28)</f>
      </c>
      <c r="G29" s="40">
        <f>SUM(G6:G28)</f>
      </c>
      <c r="H29" s="39">
        <f>SUM(H6:H28)</f>
      </c>
      <c r="I29" s="39">
        <f>SUM(I6:I28)</f>
      </c>
      <c r="J29" s="40">
        <f>SUM(J6:J28)</f>
      </c>
      <c r="K29" s="39">
        <f>SUM(K6:K28)</f>
      </c>
      <c r="L29" s="39">
        <f>SUM(L6:L28)</f>
      </c>
      <c r="M29" s="40">
        <f>SUM(M6:M28)</f>
      </c>
      <c r="N29" s="39">
        <f>SUM(N6:N28)</f>
      </c>
      <c r="O29" s="39">
        <f>SUM(O6:O28)</f>
      </c>
      <c r="P29" s="40">
        <f>SUM(P6:P28)</f>
      </c>
      <c r="Q29" s="39">
        <f>SUM(Q6:Q28)</f>
      </c>
      <c r="R29" s="39">
        <f>SUM(R6:R28)</f>
      </c>
      <c r="S29" s="40">
        <f>SUM(S6:S28)</f>
      </c>
      <c r="T29" s="39">
        <f>SUM(T6:T28)</f>
      </c>
      <c r="U29" s="39">
        <f>SUM(U6:U28)</f>
      </c>
      <c r="V29" s="40">
        <f>SUM(V6:V28)</f>
      </c>
      <c r="W29" s="39">
        <f>SUM(W6:W28)</f>
      </c>
      <c r="X29" s="39">
        <f>SUM(X6:X28)</f>
      </c>
      <c r="Y29" s="40">
        <f>SUM(Y6:Y28)</f>
      </c>
      <c r="Z29" s="41">
        <f>SUM(Z6:Z28)</f>
      </c>
      <c r="AA29" s="42">
        <f>SUM(AA6:AA28)</f>
      </c>
      <c r="AB29" s="41">
        <f>SUM(AB6:AB28)</f>
      </c>
      <c r="AC29" s="43">
        <f>IF(AA29&gt;0,AB29/AA29,0)</f>
      </c>
    </row>
    <row r="30">
      <c r="A30" s="38" t="s">
        <v>3</v>
      </c>
      <c r="B30" s="44">
        <f>IF(Z29&gt;0,B29/Z29*100,0)</f>
      </c>
      <c r="C30" s="44">
        <f>IF(AA29&gt;0,C29/AA29*100,0)</f>
      </c>
      <c r="D30" s="44">
        <f>IF(AB29&gt;0,D29/AB29*100,0)</f>
      </c>
      <c r="E30" s="44">
        <f>IF(Z29&gt;0,E29/Z29*100,0)</f>
      </c>
      <c r="F30" s="44">
        <f>IF(AA29&gt;0,F29/AA29*100,0)</f>
      </c>
      <c r="G30" s="44">
        <f>IF(AB29&gt;0,G29/AB29*100,0)</f>
      </c>
      <c r="H30" s="44">
        <f>IF(Z29&gt;0,H29/Z29*100,0)</f>
      </c>
      <c r="I30" s="44">
        <f>IF(AA29&gt;0,I29/AA29*100,0)</f>
      </c>
      <c r="J30" s="44">
        <f>IF(AB29&gt;0,J29/AB29*100,0)</f>
      </c>
      <c r="K30" s="44">
        <f>IF(Z29&gt;0,K29/Z29*100,0)</f>
      </c>
      <c r="L30" s="44">
        <f>IF(AA29&gt;0,L29/AA29*100,0)</f>
      </c>
      <c r="M30" s="44">
        <f>IF(AB29&gt;0,M29/AB29*100,0)</f>
      </c>
      <c r="N30" s="44">
        <f>IF(Z29&gt;0,N29/Z29*100,0)</f>
      </c>
      <c r="O30" s="44">
        <f>IF(AA29&gt;0,O29/AA29*100,0)</f>
      </c>
      <c r="P30" s="44">
        <f>IF(AB29&gt;0,P29/AB29*100,0)</f>
      </c>
      <c r="Q30" s="44">
        <f>IF(Z29&gt;0,Q29/Z29*100,0)</f>
      </c>
      <c r="R30" s="44">
        <f>IF(AA29&gt;0,R29/AA29*100,0)</f>
      </c>
      <c r="S30" s="44">
        <f>IF(AB29&gt;0,S29/AB29*100,0)</f>
      </c>
      <c r="T30" s="44">
        <f>IF(Z29&gt;0,T29/Z29*100,0)</f>
      </c>
      <c r="U30" s="44">
        <f>IF(AA29&gt;0,U29/AA29*100,0)</f>
      </c>
      <c r="V30" s="44">
        <f>IF(AB29&gt;0,V29/AB29*100,0)</f>
      </c>
      <c r="W30" s="44">
        <f>IF(Z29&gt;0,W29/Z29*100,0)</f>
      </c>
      <c r="X30" s="44">
        <f>IF(AA29&gt;0,X29/AA29*100,0)</f>
      </c>
      <c r="Y30" s="44">
        <f>IF(AB29&gt;0,Y29/AB29*100,0)</f>
      </c>
      <c r="Z30" s="44">
        <f>100.00</f>
      </c>
      <c r="AA30" s="44">
        <f>100.00</f>
      </c>
      <c r="AB30" s="44">
        <f>100.00</f>
      </c>
      <c r="AC30" s="45" t="s">
        <v>47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