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</sheets>
  <calcPr fullCalcOnLoad="1" fullPrecision="1"/>
</workbook>
</file>

<file path=xl/sharedStrings.xml><?xml version="1.0" encoding="utf-8"?>
<sst xmlns="http://schemas.openxmlformats.org/spreadsheetml/2006/main" count="49" uniqueCount="49">
  <si>
    <t>28-05-2026 MEMO &amp; HOLD</t>
  </si>
  <si>
    <t>SELLER</t>
  </si>
  <si>
    <t>Date</t>
  </si>
  <si>
    <t>MUMBAI</t>
  </si>
  <si>
    <t>NY</t>
  </si>
  <si>
    <t>Total Pcs</t>
  </si>
  <si>
    <t>Total Weight</t>
  </si>
  <si>
    <t>Total Total $</t>
  </si>
  <si>
    <t>Per Ct</t>
  </si>
  <si>
    <t>ONHOLD</t>
  </si>
  <si>
    <t>ONMEMO</t>
  </si>
  <si>
    <t>Total $</t>
  </si>
  <si>
    <t>Pcs</t>
  </si>
  <si>
    <t>Weight</t>
  </si>
  <si>
    <t>ADMIN</t>
  </si>
  <si>
    <t/>
  </si>
  <si>
    <t>28-05-2026</t>
  </si>
  <si>
    <t>Anand Naliyadhara</t>
  </si>
  <si>
    <t>26-05-2026</t>
  </si>
  <si>
    <t>27-05-2026</t>
  </si>
  <si>
    <t>Asha Prajapati</t>
  </si>
  <si>
    <t>Chirag paneliya</t>
  </si>
  <si>
    <t>Hitesh Satani</t>
  </si>
  <si>
    <t>25-05-2026</t>
  </si>
  <si>
    <t>Jay</t>
  </si>
  <si>
    <t>04-04-2026</t>
  </si>
  <si>
    <t>Nirali kalsara</t>
  </si>
  <si>
    <t>Pankti</t>
  </si>
  <si>
    <t>03-04-2026</t>
  </si>
  <si>
    <t>ParthUSA</t>
  </si>
  <si>
    <t>02-04-2026</t>
  </si>
  <si>
    <t>10-04-2026</t>
  </si>
  <si>
    <t>13-04-2026</t>
  </si>
  <si>
    <t>Portal</t>
  </si>
  <si>
    <t>Ramesh</t>
  </si>
  <si>
    <t>16-04-2026</t>
  </si>
  <si>
    <t>14-05-2026</t>
  </si>
  <si>
    <t>Sahil</t>
  </si>
  <si>
    <t>22-04-2026</t>
  </si>
  <si>
    <t>24-04-2026</t>
  </si>
  <si>
    <t>01-05-2026</t>
  </si>
  <si>
    <t>08-05-2026</t>
  </si>
  <si>
    <t>09-05-2026</t>
  </si>
  <si>
    <t>11-05-2026</t>
  </si>
  <si>
    <t>12-05-2026</t>
  </si>
  <si>
    <t>21-05-2026</t>
  </si>
  <si>
    <t>22-05-2026</t>
  </si>
  <si>
    <t>Total</t>
  </si>
  <si>
    <t>%</t>
  </si>
</sst>
</file>

<file path=xl/styles.xml><?xml version="1.0" encoding="utf-8"?>
<styleSheet xmlns="http://schemas.openxmlformats.org/spreadsheetml/2006/main">
  <numFmts count="3">
    <numFmt numFmtId="164" formatCode="#,##0;-#,##0;&quot;&quot;"/>
    <numFmt numFmtId="165" formatCode="#,##0.000;-#,##0.000;&quot;&quot;"/>
    <numFmt numFmtId="166" formatCode="#,##0.00;-#,##0.00;&quot;&quot;"/>
  </numFmts>
  <fonts count="4">
    <font>
      <sz val="11"/>
      <name val="Aptos Narrow"/>
    </font>
    <font>
      <b/>
      <sz val="11"/>
      <name val="Aptos Narrow"/>
    </font>
    <font>
      <b/>
      <sz val="16"/>
      <color rgb="FFFFFFFF"/>
      <name val="Aptos Narrow"/>
    </font>
    <font>
      <b/>
      <sz val="11"/>
      <color rgb="FFFFFFFF"/>
      <name val="Aptos Narrow"/>
    </font>
  </fonts>
  <fills count="14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FC000"/>
      </patternFill>
    </fill>
    <fill>
      <patternFill patternType="solid">
        <fgColor rgb="FF4472C4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F4B084"/>
      </patternFill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9BC2E6"/>
      </patternFill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9">
    <xf numFmtId="0" fontId="0" xfId="0"/>
    <xf numFmtId="0" fontId="0" xfId="0" applyAlignment="1">
      <alignment horizontal="center" vertical="center"/>
    </xf>
    <xf numFmtId="0" fontId="1" applyFont="1" xfId="0" applyAlignment="1">
      <alignment horizontal="center" vertical="center"/>
    </xf>
    <xf numFmtId="0" fontId="2" applyFont="1" fillId="2" applyFill="1" xfId="0" applyAlignment="1">
      <alignment horizontal="center" vertical="center"/>
    </xf>
    <xf numFmtId="0" fontId="1" applyFont="1" fillId="11" applyFill="1" borderId="1" applyBorder="1" xfId="0" applyAlignment="1">
      <alignment horizontal="center" vertical="center"/>
    </xf>
    <xf numFmtId="0" fontId="1" applyFont="1" fillId="3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0" fontId="3" applyFont="1" fillId="4" applyFill="1" borderId="1" applyBorder="1" xfId="0" applyAlignment="1">
      <alignment horizontal="center" vertical="center"/>
    </xf>
    <xf numFmtId="0" fontId="1" applyFont="1" fillId="5" applyFill="1" borderId="1" applyBorder="1" xfId="0" applyAlignment="1">
      <alignment horizontal="center" vertical="center"/>
    </xf>
    <xf numFmtId="0" fontId="1" applyFont="1" fillId="6" applyFill="1" borderId="1" applyBorder="1" xfId="0" applyAlignment="1">
      <alignment horizontal="center" vertical="center"/>
    </xf>
    <xf numFmtId="0" fontId="1" applyFont="1" fillId="7" applyFill="1" borderId="1" applyBorder="1" xfId="0" applyAlignment="1">
      <alignment horizontal="center" vertical="center"/>
    </xf>
    <xf numFmtId="0" fontId="1" applyFont="1" fillId="8" applyFill="1" borderId="1" applyBorder="1" xfId="0" applyAlignment="1">
      <alignment horizontal="center" vertical="center"/>
    </xf>
    <xf numFmtId="0" fontId="1" applyFont="1" fillId="9" applyFill="1" borderId="1" applyBorder="1" xfId="0" applyAlignment="1">
      <alignment horizontal="center" vertical="center"/>
    </xf>
    <xf numFmtId="0" fontId="1" applyFont="1" fillId="10" applyFill="1" borderId="1" applyBorder="1" xfId="0" applyAlignment="1">
      <alignment horizontal="center" vertical="center"/>
    </xf>
    <xf numFmtId="0" fontId="1" applyFont="1" fillId="12" applyFill="1" borderId="1" applyBorder="1" xfId="0" applyAlignment="1">
      <alignment horizontal="left" vertical="center"/>
    </xf>
    <xf numFmtId="0" fontId="1" applyFont="1" fillId="12" applyFill="1" borderId="1" applyBorder="1" xfId="0" applyAlignment="1">
      <alignment horizontal="center" vertical="center"/>
    </xf>
    <xf numFmtId="164" applyNumberFormat="1" fontId="1" applyFont="1" fillId="12" applyFill="1" borderId="1" applyBorder="1" xfId="0" applyAlignment="1">
      <alignment horizontal="center" vertical="center"/>
    </xf>
    <xf numFmtId="165" applyNumberFormat="1" fontId="1" applyFont="1" fillId="12" applyFill="1" borderId="1" applyBorder="1" xfId="0" applyAlignment="1">
      <alignment horizontal="center" vertical="center"/>
    </xf>
    <xf numFmtId="166" applyNumberFormat="1" fontId="1" applyFont="1" fillId="12" applyFill="1" borderId="1" applyBorder="1" xfId="0" applyAlignment="1">
      <alignment horizontal="center" vertical="center"/>
    </xf>
    <xf numFmtId="0" fontId="0" borderId="1" applyBorder="1" xfId="0" applyAlignment="1">
      <alignment horizontal="left" vertical="center"/>
    </xf>
    <xf numFmtId="164" applyNumberFormat="1" fontId="0" borderId="1" applyBorder="1" xfId="0" applyAlignment="1">
      <alignment horizontal="center" vertical="center"/>
    </xf>
    <xf numFmtId="165" applyNumberFormat="1" fontId="0" borderId="1" applyBorder="1" xfId="0" applyAlignment="1">
      <alignment horizontal="center" vertical="center"/>
    </xf>
    <xf numFmtId="166" applyNumberFormat="1" fontId="0" borderId="1" applyBorder="1" xfId="0" applyAlignment="1">
      <alignment horizontal="center" vertical="center"/>
    </xf>
    <xf numFmtId="0" fontId="3" applyFont="1" fillId="13" applyFill="1" borderId="1" applyBorder="1" xfId="0" applyAlignment="1">
      <alignment horizontal="center" vertical="center"/>
    </xf>
    <xf numFmtId="0" fontId="1" applyFont="1" fillId="11" applyFill="1" borderId="1" applyBorder="1" xfId="0" applyAlignment="1">
      <alignment horizontal="left" vertical="center"/>
    </xf>
    <xf numFmtId="164" applyNumberFormat="1" fontId="1" applyFont="1" fillId="11" applyFill="1" borderId="1" applyBorder="1" xfId="0" applyAlignment="1">
      <alignment horizontal="center" vertical="center"/>
    </xf>
    <xf numFmtId="165" applyNumberFormat="1" fontId="1" applyFont="1" fillId="11" applyFill="1" borderId="1" applyBorder="1" xfId="0" applyAlignment="1">
      <alignment horizontal="center" vertical="center"/>
    </xf>
    <xf numFmtId="166" applyNumberFormat="1" fontId="1" applyFont="1" fillId="11" applyFill="1" borderId="1" applyBorder="1" xfId="0" applyAlignment="1">
      <alignment horizontal="center" vertical="center"/>
    </xf>
    <xf numFmtId="10" applyNumberFormat="1" fontId="1" applyFont="1" fillId="12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55"/>
  <sheetViews>
    <sheetView workbookViewId="0" showGridLines="1"/>
  </sheetViews>
  <sheetFormatPr defaultRowHeight="15"/>
  <cols>
    <col min="1" max="1" width="19.3279705047607" customWidth="1" style="1"/>
    <col min="2" max="2" width="14.3146076202393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43706703186035" customWidth="1" style="1"/>
    <col min="12" max="12" width="9.140625" customWidth="1" style="1"/>
    <col min="13" max="13" width="9.140625" customWidth="1" style="1"/>
    <col min="14" max="14" width="9.4370670318603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16384" width="9.140625" customWidth="1" style="1"/>
  </cols>
  <sheetData>
    <row r="1">
      <c r="A1" s="3" t="s">
        <v>0</v>
      </c>
    </row>
    <row r="2">
      <c r="A2" s="4" t="s">
        <v>1</v>
      </c>
      <c r="B2" s="4" t="s">
        <v>2</v>
      </c>
      <c r="C2" s="5" t="s">
        <v>3</v>
      </c>
      <c r="D2" s="6"/>
      <c r="E2" s="6"/>
      <c r="F2" s="6"/>
      <c r="G2" s="6"/>
      <c r="H2" s="6"/>
      <c r="I2" s="6"/>
      <c r="J2" s="7" t="s">
        <v>4</v>
      </c>
      <c r="K2" s="6"/>
      <c r="L2" s="6"/>
      <c r="M2" s="6"/>
      <c r="N2" s="6"/>
      <c r="O2" s="6"/>
      <c r="P2" s="6"/>
      <c r="Q2" s="4" t="s">
        <v>5</v>
      </c>
      <c r="R2" s="4" t="s">
        <v>6</v>
      </c>
      <c r="S2" s="4" t="s">
        <v>7</v>
      </c>
      <c r="T2" s="4" t="s">
        <v>8</v>
      </c>
    </row>
    <row r="3">
      <c r="A3" s="4"/>
      <c r="B3" s="4"/>
      <c r="C3" s="8" t="s">
        <v>9</v>
      </c>
      <c r="D3" s="6"/>
      <c r="E3" s="6"/>
      <c r="F3" s="9" t="s">
        <v>10</v>
      </c>
      <c r="G3" s="6"/>
      <c r="H3" s="6"/>
      <c r="I3" s="10" t="s">
        <v>11</v>
      </c>
      <c r="J3" s="11" t="s">
        <v>9</v>
      </c>
      <c r="K3" s="6"/>
      <c r="L3" s="6"/>
      <c r="M3" s="12" t="s">
        <v>10</v>
      </c>
      <c r="N3" s="6"/>
      <c r="O3" s="6"/>
      <c r="P3" s="13" t="s">
        <v>11</v>
      </c>
      <c r="Q3" s="4"/>
      <c r="R3" s="4"/>
      <c r="S3" s="4"/>
      <c r="T3" s="4"/>
    </row>
    <row r="4">
      <c r="A4" s="4"/>
      <c r="B4" s="4"/>
      <c r="C4" s="8" t="s">
        <v>12</v>
      </c>
      <c r="D4" s="8" t="s">
        <v>13</v>
      </c>
      <c r="E4" s="8" t="s">
        <v>11</v>
      </c>
      <c r="F4" s="9" t="s">
        <v>12</v>
      </c>
      <c r="G4" s="9" t="s">
        <v>13</v>
      </c>
      <c r="H4" s="9" t="s">
        <v>11</v>
      </c>
      <c r="I4" s="6"/>
      <c r="J4" s="11" t="s">
        <v>12</v>
      </c>
      <c r="K4" s="11" t="s">
        <v>13</v>
      </c>
      <c r="L4" s="11" t="s">
        <v>11</v>
      </c>
      <c r="M4" s="12" t="s">
        <v>12</v>
      </c>
      <c r="N4" s="12" t="s">
        <v>13</v>
      </c>
      <c r="O4" s="12" t="s">
        <v>11</v>
      </c>
      <c r="P4" s="6"/>
      <c r="Q4" s="4"/>
      <c r="R4" s="4"/>
      <c r="S4" s="4"/>
      <c r="T4" s="4"/>
    </row>
    <row r="5" s="2" customFormat="1">
      <c r="A5" s="14" t="s">
        <v>14</v>
      </c>
      <c r="B5" s="15" t="s">
        <v>15</v>
      </c>
      <c r="C5" s="16">
        <f>SUM(C6:C6)</f>
      </c>
      <c r="D5" s="17">
        <f>SUM(D6:D6)</f>
      </c>
      <c r="E5" s="16">
        <f>SUM(E6:E6)</f>
      </c>
      <c r="F5" s="16">
        <f>SUM(F6:F6)</f>
      </c>
      <c r="G5" s="17">
        <f>SUM(G6:G6)</f>
      </c>
      <c r="H5" s="16">
        <f>SUM(H6:H6)</f>
      </c>
      <c r="I5" s="16">
        <f>SUM(I6:I6)</f>
      </c>
      <c r="J5" s="16">
        <f>SUM(J6:J6)</f>
      </c>
      <c r="K5" s="17">
        <f>SUM(K6:K6)</f>
      </c>
      <c r="L5" s="16">
        <f>SUM(L6:L6)</f>
      </c>
      <c r="M5" s="16">
        <f>SUM(M6:M6)</f>
      </c>
      <c r="N5" s="17">
        <f>SUM(N6:N6)</f>
      </c>
      <c r="O5" s="16">
        <f>SUM(O6:O6)</f>
      </c>
      <c r="P5" s="16">
        <f>SUM(P6:P6)</f>
      </c>
      <c r="Q5" s="16">
        <f>SUM(Q6:Q6)</f>
      </c>
      <c r="R5" s="17">
        <f>SUM(R6:R6)</f>
      </c>
      <c r="S5" s="16">
        <f>SUM(S6:S6)</f>
      </c>
      <c r="T5" s="18">
        <f>IF(R5&gt;0, S5/R5, 0)</f>
      </c>
    </row>
    <row r="6">
      <c r="A6" s="19" t="s">
        <v>15</v>
      </c>
      <c r="B6" s="6" t="s">
        <v>16</v>
      </c>
      <c r="C6" s="20">
        <v>3</v>
      </c>
      <c r="D6" s="21">
        <v>4.25</v>
      </c>
      <c r="E6" s="20">
        <v>400</v>
      </c>
      <c r="F6" s="20">
        <v>0</v>
      </c>
      <c r="G6" s="21">
        <v>0</v>
      </c>
      <c r="H6" s="20">
        <v>0</v>
      </c>
      <c r="I6" s="20">
        <f>E6+H6</f>
      </c>
      <c r="J6" s="20">
        <v>0</v>
      </c>
      <c r="K6" s="21">
        <v>0</v>
      </c>
      <c r="L6" s="20">
        <v>0</v>
      </c>
      <c r="M6" s="20">
        <v>0</v>
      </c>
      <c r="N6" s="21">
        <v>0</v>
      </c>
      <c r="O6" s="20">
        <v>0</v>
      </c>
      <c r="P6" s="20">
        <f>L6+O6</f>
      </c>
      <c r="Q6" s="20">
        <f>C6+F6+J6+M6</f>
      </c>
      <c r="R6" s="21">
        <f>D6+G6+K6+N6</f>
      </c>
      <c r="S6" s="20">
        <f>I6+P6</f>
      </c>
      <c r="T6" s="22">
        <f>IF(R6&gt;0, S6/R6, 0)</f>
      </c>
    </row>
    <row r="7" s="2" customFormat="1">
      <c r="A7" s="14" t="s">
        <v>17</v>
      </c>
      <c r="B7" s="15" t="s">
        <v>15</v>
      </c>
      <c r="C7" s="16">
        <f>SUM(C8:C10)</f>
      </c>
      <c r="D7" s="17">
        <f>SUM(D8:D10)</f>
      </c>
      <c r="E7" s="16">
        <f>SUM(E8:E10)</f>
      </c>
      <c r="F7" s="16">
        <f>SUM(F8:F10)</f>
      </c>
      <c r="G7" s="17">
        <f>SUM(G8:G10)</f>
      </c>
      <c r="H7" s="16">
        <f>SUM(H8:H10)</f>
      </c>
      <c r="I7" s="16">
        <f>SUM(I8:I10)</f>
      </c>
      <c r="J7" s="16">
        <f>SUM(J8:J10)</f>
      </c>
      <c r="K7" s="17">
        <f>SUM(K8:K10)</f>
      </c>
      <c r="L7" s="16">
        <f>SUM(L8:L10)</f>
      </c>
      <c r="M7" s="16">
        <f>SUM(M8:M10)</f>
      </c>
      <c r="N7" s="17">
        <f>SUM(N8:N10)</f>
      </c>
      <c r="O7" s="16">
        <f>SUM(O8:O10)</f>
      </c>
      <c r="P7" s="16">
        <f>SUM(P8:P10)</f>
      </c>
      <c r="Q7" s="16">
        <f>SUM(Q8:Q10)</f>
      </c>
      <c r="R7" s="17">
        <f>SUM(R8:R10)</f>
      </c>
      <c r="S7" s="16">
        <f>SUM(S8:S10)</f>
      </c>
      <c r="T7" s="18">
        <f>IF(R7&gt;0, S7/R7, 0)</f>
      </c>
    </row>
    <row r="8">
      <c r="A8" s="19" t="s">
        <v>15</v>
      </c>
      <c r="B8" s="23" t="s">
        <v>18</v>
      </c>
      <c r="C8" s="20">
        <v>0</v>
      </c>
      <c r="D8" s="21">
        <v>0</v>
      </c>
      <c r="E8" s="20">
        <v>0</v>
      </c>
      <c r="F8" s="20">
        <v>3</v>
      </c>
      <c r="G8" s="21">
        <v>3.66</v>
      </c>
      <c r="H8" s="20">
        <v>313.22</v>
      </c>
      <c r="I8" s="20">
        <f>E8+H8</f>
      </c>
      <c r="J8" s="20">
        <v>0</v>
      </c>
      <c r="K8" s="21">
        <v>0</v>
      </c>
      <c r="L8" s="20">
        <v>0</v>
      </c>
      <c r="M8" s="20">
        <v>0</v>
      </c>
      <c r="N8" s="21">
        <v>0</v>
      </c>
      <c r="O8" s="20">
        <v>0</v>
      </c>
      <c r="P8" s="20">
        <f>L8+O8</f>
      </c>
      <c r="Q8" s="20">
        <f>C8+F8+J8+M8</f>
      </c>
      <c r="R8" s="21">
        <f>D8+G8+K8+N8</f>
      </c>
      <c r="S8" s="20">
        <f>I8+P8</f>
      </c>
      <c r="T8" s="22">
        <f>IF(R8&gt;0, S8/R8, 0)</f>
      </c>
    </row>
    <row r="9">
      <c r="A9" s="19" t="s">
        <v>15</v>
      </c>
      <c r="B9" s="23" t="s">
        <v>19</v>
      </c>
      <c r="C9" s="20">
        <v>0</v>
      </c>
      <c r="D9" s="21">
        <v>0</v>
      </c>
      <c r="E9" s="20">
        <v>0</v>
      </c>
      <c r="F9" s="20">
        <v>8</v>
      </c>
      <c r="G9" s="21">
        <v>12.32</v>
      </c>
      <c r="H9" s="20">
        <v>1042.29</v>
      </c>
      <c r="I9" s="20">
        <f>E9+H9</f>
      </c>
      <c r="J9" s="20">
        <v>0</v>
      </c>
      <c r="K9" s="21">
        <v>0</v>
      </c>
      <c r="L9" s="20">
        <v>0</v>
      </c>
      <c r="M9" s="20">
        <v>0</v>
      </c>
      <c r="N9" s="21">
        <v>0</v>
      </c>
      <c r="O9" s="20">
        <v>0</v>
      </c>
      <c r="P9" s="20">
        <f>L9+O9</f>
      </c>
      <c r="Q9" s="20">
        <f>C9+F9+J9+M9</f>
      </c>
      <c r="R9" s="21">
        <f>D9+G9+K9+N9</f>
      </c>
      <c r="S9" s="20">
        <f>I9+P9</f>
      </c>
      <c r="T9" s="22">
        <f>IF(R9&gt;0, S9/R9, 0)</f>
      </c>
    </row>
    <row r="10">
      <c r="A10" s="19" t="s">
        <v>15</v>
      </c>
      <c r="B10" s="6" t="s">
        <v>16</v>
      </c>
      <c r="C10" s="20">
        <v>12</v>
      </c>
      <c r="D10" s="21">
        <v>17.57</v>
      </c>
      <c r="E10" s="20">
        <v>1444.6</v>
      </c>
      <c r="F10" s="20">
        <v>58</v>
      </c>
      <c r="G10" s="21">
        <v>84.27</v>
      </c>
      <c r="H10" s="20">
        <v>7182.49</v>
      </c>
      <c r="I10" s="20">
        <f>E10+H10</f>
      </c>
      <c r="J10" s="20">
        <v>0</v>
      </c>
      <c r="K10" s="21">
        <v>0</v>
      </c>
      <c r="L10" s="20">
        <v>0</v>
      </c>
      <c r="M10" s="20">
        <v>0</v>
      </c>
      <c r="N10" s="21">
        <v>0</v>
      </c>
      <c r="O10" s="20">
        <v>0</v>
      </c>
      <c r="P10" s="20">
        <f>L10+O10</f>
      </c>
      <c r="Q10" s="20">
        <f>C10+F10+J10+M10</f>
      </c>
      <c r="R10" s="21">
        <f>D10+G10+K10+N10</f>
      </c>
      <c r="S10" s="20">
        <f>I10+P10</f>
      </c>
      <c r="T10" s="22">
        <f>IF(R10&gt;0, S10/R10, 0)</f>
      </c>
    </row>
    <row r="11" s="2" customFormat="1">
      <c r="A11" s="14" t="s">
        <v>20</v>
      </c>
      <c r="B11" s="15" t="s">
        <v>15</v>
      </c>
      <c r="C11" s="16">
        <f>SUM(C12:C12)</f>
      </c>
      <c r="D11" s="17">
        <f>SUM(D12:D12)</f>
      </c>
      <c r="E11" s="16">
        <f>SUM(E12:E12)</f>
      </c>
      <c r="F11" s="16">
        <f>SUM(F12:F12)</f>
      </c>
      <c r="G11" s="17">
        <f>SUM(G12:G12)</f>
      </c>
      <c r="H11" s="16">
        <f>SUM(H12:H12)</f>
      </c>
      <c r="I11" s="16">
        <f>SUM(I12:I12)</f>
      </c>
      <c r="J11" s="16">
        <f>SUM(J12:J12)</f>
      </c>
      <c r="K11" s="17">
        <f>SUM(K12:K12)</f>
      </c>
      <c r="L11" s="16">
        <f>SUM(L12:L12)</f>
      </c>
      <c r="M11" s="16">
        <f>SUM(M12:M12)</f>
      </c>
      <c r="N11" s="17">
        <f>SUM(N12:N12)</f>
      </c>
      <c r="O11" s="16">
        <f>SUM(O12:O12)</f>
      </c>
      <c r="P11" s="16">
        <f>SUM(P12:P12)</f>
      </c>
      <c r="Q11" s="16">
        <f>SUM(Q12:Q12)</f>
      </c>
      <c r="R11" s="17">
        <f>SUM(R12:R12)</f>
      </c>
      <c r="S11" s="16">
        <f>SUM(S12:S12)</f>
      </c>
      <c r="T11" s="18">
        <f>IF(R11&gt;0, S11/R11, 0)</f>
      </c>
    </row>
    <row r="12">
      <c r="A12" s="19" t="s">
        <v>15</v>
      </c>
      <c r="B12" s="23" t="s">
        <v>19</v>
      </c>
      <c r="C12" s="20">
        <v>0</v>
      </c>
      <c r="D12" s="21">
        <v>0</v>
      </c>
      <c r="E12" s="20">
        <v>0</v>
      </c>
      <c r="F12" s="20">
        <v>1</v>
      </c>
      <c r="G12" s="21">
        <v>5.05</v>
      </c>
      <c r="H12" s="20">
        <v>454.5</v>
      </c>
      <c r="I12" s="20">
        <f>E12+H12</f>
      </c>
      <c r="J12" s="20">
        <v>0</v>
      </c>
      <c r="K12" s="21">
        <v>0</v>
      </c>
      <c r="L12" s="20">
        <v>0</v>
      </c>
      <c r="M12" s="20">
        <v>0</v>
      </c>
      <c r="N12" s="21">
        <v>0</v>
      </c>
      <c r="O12" s="20">
        <v>0</v>
      </c>
      <c r="P12" s="20">
        <f>L12+O12</f>
      </c>
      <c r="Q12" s="20">
        <f>C12+F12+J12+M12</f>
      </c>
      <c r="R12" s="21">
        <f>D12+G12+K12+N12</f>
      </c>
      <c r="S12" s="20">
        <f>I12+P12</f>
      </c>
      <c r="T12" s="22">
        <f>IF(R12&gt;0, S12/R12, 0)</f>
      </c>
    </row>
    <row r="13" s="2" customFormat="1">
      <c r="A13" s="14" t="s">
        <v>21</v>
      </c>
      <c r="B13" s="15" t="s">
        <v>15</v>
      </c>
      <c r="C13" s="16">
        <f>SUM(C14:C15)</f>
      </c>
      <c r="D13" s="17">
        <f>SUM(D14:D15)</f>
      </c>
      <c r="E13" s="16">
        <f>SUM(E14:E15)</f>
      </c>
      <c r="F13" s="16">
        <f>SUM(F14:F15)</f>
      </c>
      <c r="G13" s="17">
        <f>SUM(G14:G15)</f>
      </c>
      <c r="H13" s="16">
        <f>SUM(H14:H15)</f>
      </c>
      <c r="I13" s="16">
        <f>SUM(I14:I15)</f>
      </c>
      <c r="J13" s="16">
        <f>SUM(J14:J15)</f>
      </c>
      <c r="K13" s="17">
        <f>SUM(K14:K15)</f>
      </c>
      <c r="L13" s="16">
        <f>SUM(L14:L15)</f>
      </c>
      <c r="M13" s="16">
        <f>SUM(M14:M15)</f>
      </c>
      <c r="N13" s="17">
        <f>SUM(N14:N15)</f>
      </c>
      <c r="O13" s="16">
        <f>SUM(O14:O15)</f>
      </c>
      <c r="P13" s="16">
        <f>SUM(P14:P15)</f>
      </c>
      <c r="Q13" s="16">
        <f>SUM(Q14:Q15)</f>
      </c>
      <c r="R13" s="17">
        <f>SUM(R14:R15)</f>
      </c>
      <c r="S13" s="16">
        <f>SUM(S14:S15)</f>
      </c>
      <c r="T13" s="18">
        <f>IF(R13&gt;0, S13/R13, 0)</f>
      </c>
    </row>
    <row r="14">
      <c r="A14" s="19" t="s">
        <v>15</v>
      </c>
      <c r="B14" s="23" t="s">
        <v>19</v>
      </c>
      <c r="C14" s="20">
        <v>2</v>
      </c>
      <c r="D14" s="21">
        <v>2.7</v>
      </c>
      <c r="E14" s="20">
        <v>246.3</v>
      </c>
      <c r="F14" s="20">
        <v>34</v>
      </c>
      <c r="G14" s="21">
        <v>37.86</v>
      </c>
      <c r="H14" s="20">
        <v>2758.49</v>
      </c>
      <c r="I14" s="20">
        <f>E14+H14</f>
      </c>
      <c r="J14" s="20">
        <v>0</v>
      </c>
      <c r="K14" s="21">
        <v>0</v>
      </c>
      <c r="L14" s="20">
        <v>0</v>
      </c>
      <c r="M14" s="20">
        <v>0</v>
      </c>
      <c r="N14" s="21">
        <v>0</v>
      </c>
      <c r="O14" s="20">
        <v>0</v>
      </c>
      <c r="P14" s="20">
        <f>L14+O14</f>
      </c>
      <c r="Q14" s="20">
        <f>C14+F14+J14+M14</f>
      </c>
      <c r="R14" s="21">
        <f>D14+G14+K14+N14</f>
      </c>
      <c r="S14" s="20">
        <f>I14+P14</f>
      </c>
      <c r="T14" s="22">
        <f>IF(R14&gt;0, S14/R14, 0)</f>
      </c>
    </row>
    <row r="15">
      <c r="A15" s="19" t="s">
        <v>15</v>
      </c>
      <c r="B15" s="6" t="s">
        <v>16</v>
      </c>
      <c r="C15" s="20">
        <v>2</v>
      </c>
      <c r="D15" s="21">
        <v>3.11</v>
      </c>
      <c r="E15" s="20">
        <v>295.71</v>
      </c>
      <c r="F15" s="20">
        <v>35</v>
      </c>
      <c r="G15" s="21">
        <v>44.72</v>
      </c>
      <c r="H15" s="20">
        <v>3526.53</v>
      </c>
      <c r="I15" s="20">
        <f>E15+H15</f>
      </c>
      <c r="J15" s="20">
        <v>0</v>
      </c>
      <c r="K15" s="21">
        <v>0</v>
      </c>
      <c r="L15" s="20">
        <v>0</v>
      </c>
      <c r="M15" s="20">
        <v>0</v>
      </c>
      <c r="N15" s="21">
        <v>0</v>
      </c>
      <c r="O15" s="20">
        <v>0</v>
      </c>
      <c r="P15" s="20">
        <f>L15+O15</f>
      </c>
      <c r="Q15" s="20">
        <f>C15+F15+J15+M15</f>
      </c>
      <c r="R15" s="21">
        <f>D15+G15+K15+N15</f>
      </c>
      <c r="S15" s="20">
        <f>I15+P15</f>
      </c>
      <c r="T15" s="22">
        <f>IF(R15&gt;0, S15/R15, 0)</f>
      </c>
    </row>
    <row r="16" s="2" customFormat="1">
      <c r="A16" s="14" t="s">
        <v>22</v>
      </c>
      <c r="B16" s="15" t="s">
        <v>15</v>
      </c>
      <c r="C16" s="16">
        <f>SUM(C17:C18)</f>
      </c>
      <c r="D16" s="17">
        <f>SUM(D17:D18)</f>
      </c>
      <c r="E16" s="16">
        <f>SUM(E17:E18)</f>
      </c>
      <c r="F16" s="16">
        <f>SUM(F17:F18)</f>
      </c>
      <c r="G16" s="17">
        <f>SUM(G17:G18)</f>
      </c>
      <c r="H16" s="16">
        <f>SUM(H17:H18)</f>
      </c>
      <c r="I16" s="16">
        <f>SUM(I17:I18)</f>
      </c>
      <c r="J16" s="16">
        <f>SUM(J17:J18)</f>
      </c>
      <c r="K16" s="17">
        <f>SUM(K17:K18)</f>
      </c>
      <c r="L16" s="16">
        <f>SUM(L17:L18)</f>
      </c>
      <c r="M16" s="16">
        <f>SUM(M17:M18)</f>
      </c>
      <c r="N16" s="17">
        <f>SUM(N17:N18)</f>
      </c>
      <c r="O16" s="16">
        <f>SUM(O17:O18)</f>
      </c>
      <c r="P16" s="16">
        <f>SUM(P17:P18)</f>
      </c>
      <c r="Q16" s="16">
        <f>SUM(Q17:Q18)</f>
      </c>
      <c r="R16" s="17">
        <f>SUM(R17:R18)</f>
      </c>
      <c r="S16" s="16">
        <f>SUM(S17:S18)</f>
      </c>
      <c r="T16" s="18">
        <f>IF(R16&gt;0, S16/R16, 0)</f>
      </c>
    </row>
    <row r="17">
      <c r="A17" s="19" t="s">
        <v>15</v>
      </c>
      <c r="B17" s="23" t="s">
        <v>23</v>
      </c>
      <c r="C17" s="20">
        <v>0</v>
      </c>
      <c r="D17" s="21">
        <v>0</v>
      </c>
      <c r="E17" s="20">
        <v>0</v>
      </c>
      <c r="F17" s="20">
        <v>1</v>
      </c>
      <c r="G17" s="21">
        <v>1.23</v>
      </c>
      <c r="H17" s="20">
        <v>97.17</v>
      </c>
      <c r="I17" s="20">
        <f>E17+H17</f>
      </c>
      <c r="J17" s="20">
        <v>0</v>
      </c>
      <c r="K17" s="21">
        <v>0</v>
      </c>
      <c r="L17" s="20">
        <v>0</v>
      </c>
      <c r="M17" s="20">
        <v>0</v>
      </c>
      <c r="N17" s="21">
        <v>0</v>
      </c>
      <c r="O17" s="20">
        <v>0</v>
      </c>
      <c r="P17" s="20">
        <f>L17+O17</f>
      </c>
      <c r="Q17" s="20">
        <f>C17+F17+J17+M17</f>
      </c>
      <c r="R17" s="21">
        <f>D17+G17+K17+N17</f>
      </c>
      <c r="S17" s="20">
        <f>I17+P17</f>
      </c>
      <c r="T17" s="22">
        <f>IF(R17&gt;0, S17/R17, 0)</f>
      </c>
    </row>
    <row r="18">
      <c r="A18" s="19" t="s">
        <v>15</v>
      </c>
      <c r="B18" s="6" t="s">
        <v>16</v>
      </c>
      <c r="C18" s="20">
        <v>0</v>
      </c>
      <c r="D18" s="21">
        <v>0</v>
      </c>
      <c r="E18" s="20">
        <v>0</v>
      </c>
      <c r="F18" s="20">
        <v>23</v>
      </c>
      <c r="G18" s="21">
        <v>42.43</v>
      </c>
      <c r="H18" s="20">
        <v>3525.74</v>
      </c>
      <c r="I18" s="20">
        <f>E18+H18</f>
      </c>
      <c r="J18" s="20">
        <v>0</v>
      </c>
      <c r="K18" s="21">
        <v>0</v>
      </c>
      <c r="L18" s="20">
        <v>0</v>
      </c>
      <c r="M18" s="20">
        <v>0</v>
      </c>
      <c r="N18" s="21">
        <v>0</v>
      </c>
      <c r="O18" s="20">
        <v>0</v>
      </c>
      <c r="P18" s="20">
        <f>L18+O18</f>
      </c>
      <c r="Q18" s="20">
        <f>C18+F18+J18+M18</f>
      </c>
      <c r="R18" s="21">
        <f>D18+G18+K18+N18</f>
      </c>
      <c r="S18" s="20">
        <f>I18+P18</f>
      </c>
      <c r="T18" s="22">
        <f>IF(R18&gt;0, S18/R18, 0)</f>
      </c>
    </row>
    <row r="19" s="2" customFormat="1">
      <c r="A19" s="14" t="s">
        <v>24</v>
      </c>
      <c r="B19" s="15" t="s">
        <v>15</v>
      </c>
      <c r="C19" s="16">
        <f>SUM(C20:C21)</f>
      </c>
      <c r="D19" s="17">
        <f>SUM(D20:D21)</f>
      </c>
      <c r="E19" s="16">
        <f>SUM(E20:E21)</f>
      </c>
      <c r="F19" s="16">
        <f>SUM(F20:F21)</f>
      </c>
      <c r="G19" s="17">
        <f>SUM(G20:G21)</f>
      </c>
      <c r="H19" s="16">
        <f>SUM(H20:H21)</f>
      </c>
      <c r="I19" s="16">
        <f>SUM(I20:I21)</f>
      </c>
      <c r="J19" s="16">
        <f>SUM(J20:J21)</f>
      </c>
      <c r="K19" s="17">
        <f>SUM(K20:K21)</f>
      </c>
      <c r="L19" s="16">
        <f>SUM(L20:L21)</f>
      </c>
      <c r="M19" s="16">
        <f>SUM(M20:M21)</f>
      </c>
      <c r="N19" s="17">
        <f>SUM(N20:N21)</f>
      </c>
      <c r="O19" s="16">
        <f>SUM(O20:O21)</f>
      </c>
      <c r="P19" s="16">
        <f>SUM(P20:P21)</f>
      </c>
      <c r="Q19" s="16">
        <f>SUM(Q20:Q21)</f>
      </c>
      <c r="R19" s="17">
        <f>SUM(R20:R21)</f>
      </c>
      <c r="S19" s="16">
        <f>SUM(S20:S21)</f>
      </c>
      <c r="T19" s="18">
        <f>IF(R19&gt;0, S19/R19, 0)</f>
      </c>
    </row>
    <row r="20">
      <c r="A20" s="19" t="s">
        <v>15</v>
      </c>
      <c r="B20" s="23" t="s">
        <v>25</v>
      </c>
      <c r="C20" s="20">
        <v>0</v>
      </c>
      <c r="D20" s="21">
        <v>0</v>
      </c>
      <c r="E20" s="20">
        <v>0</v>
      </c>
      <c r="F20" s="20">
        <v>0</v>
      </c>
      <c r="G20" s="21">
        <v>0</v>
      </c>
      <c r="H20" s="20">
        <v>0</v>
      </c>
      <c r="I20" s="20">
        <f>E20+H20</f>
      </c>
      <c r="J20" s="20">
        <v>0</v>
      </c>
      <c r="K20" s="21">
        <v>0</v>
      </c>
      <c r="L20" s="20">
        <v>0</v>
      </c>
      <c r="M20" s="20">
        <v>44</v>
      </c>
      <c r="N20" s="21">
        <v>85.15</v>
      </c>
      <c r="O20" s="20">
        <v>9491.78</v>
      </c>
      <c r="P20" s="20">
        <f>L20+O20</f>
      </c>
      <c r="Q20" s="20">
        <f>C20+F20+J20+M20</f>
      </c>
      <c r="R20" s="21">
        <f>D20+G20+K20+N20</f>
      </c>
      <c r="S20" s="20">
        <f>I20+P20</f>
      </c>
      <c r="T20" s="22">
        <f>IF(R20&gt;0, S20/R20, 0)</f>
      </c>
    </row>
    <row r="21">
      <c r="A21" s="19" t="s">
        <v>15</v>
      </c>
      <c r="B21" s="6" t="s">
        <v>19</v>
      </c>
      <c r="C21" s="20">
        <v>0</v>
      </c>
      <c r="D21" s="21">
        <v>0</v>
      </c>
      <c r="E21" s="20">
        <v>0</v>
      </c>
      <c r="F21" s="20">
        <v>0</v>
      </c>
      <c r="G21" s="21">
        <v>0</v>
      </c>
      <c r="H21" s="20">
        <v>0</v>
      </c>
      <c r="I21" s="20">
        <f>E21+H21</f>
      </c>
      <c r="J21" s="20">
        <v>1</v>
      </c>
      <c r="K21" s="21">
        <v>1.54</v>
      </c>
      <c r="L21" s="20">
        <v>152.46</v>
      </c>
      <c r="M21" s="20">
        <v>0</v>
      </c>
      <c r="N21" s="21">
        <v>0</v>
      </c>
      <c r="O21" s="20">
        <v>0</v>
      </c>
      <c r="P21" s="20">
        <f>L21+O21</f>
      </c>
      <c r="Q21" s="20">
        <f>C21+F21+J21+M21</f>
      </c>
      <c r="R21" s="21">
        <f>D21+G21+K21+N21</f>
      </c>
      <c r="S21" s="20">
        <f>I21+P21</f>
      </c>
      <c r="T21" s="22">
        <f>IF(R21&gt;0, S21/R21, 0)</f>
      </c>
    </row>
    <row r="22" s="2" customFormat="1">
      <c r="A22" s="14" t="s">
        <v>26</v>
      </c>
      <c r="B22" s="15" t="s">
        <v>15</v>
      </c>
      <c r="C22" s="16">
        <f>SUM(C23:C25)</f>
      </c>
      <c r="D22" s="17">
        <f>SUM(D23:D25)</f>
      </c>
      <c r="E22" s="16">
        <f>SUM(E23:E25)</f>
      </c>
      <c r="F22" s="16">
        <f>SUM(F23:F25)</f>
      </c>
      <c r="G22" s="17">
        <f>SUM(G23:G25)</f>
      </c>
      <c r="H22" s="16">
        <f>SUM(H23:H25)</f>
      </c>
      <c r="I22" s="16">
        <f>SUM(I23:I25)</f>
      </c>
      <c r="J22" s="16">
        <f>SUM(J23:J25)</f>
      </c>
      <c r="K22" s="17">
        <f>SUM(K23:K25)</f>
      </c>
      <c r="L22" s="16">
        <f>SUM(L23:L25)</f>
      </c>
      <c r="M22" s="16">
        <f>SUM(M23:M25)</f>
      </c>
      <c r="N22" s="17">
        <f>SUM(N23:N25)</f>
      </c>
      <c r="O22" s="16">
        <f>SUM(O23:O25)</f>
      </c>
      <c r="P22" s="16">
        <f>SUM(P23:P25)</f>
      </c>
      <c r="Q22" s="16">
        <f>SUM(Q23:Q25)</f>
      </c>
      <c r="R22" s="17">
        <f>SUM(R23:R25)</f>
      </c>
      <c r="S22" s="16">
        <f>SUM(S23:S25)</f>
      </c>
      <c r="T22" s="18">
        <f>IF(R22&gt;0, S22/R22, 0)</f>
      </c>
    </row>
    <row r="23">
      <c r="A23" s="19" t="s">
        <v>15</v>
      </c>
      <c r="B23" s="6" t="s">
        <v>18</v>
      </c>
      <c r="C23" s="20">
        <v>0</v>
      </c>
      <c r="D23" s="21">
        <v>0</v>
      </c>
      <c r="E23" s="20">
        <v>0</v>
      </c>
      <c r="F23" s="20">
        <v>11</v>
      </c>
      <c r="G23" s="21">
        <v>11.3</v>
      </c>
      <c r="H23" s="20">
        <v>937.9</v>
      </c>
      <c r="I23" s="20">
        <f>E23+H23</f>
      </c>
      <c r="J23" s="20">
        <v>0</v>
      </c>
      <c r="K23" s="21">
        <v>0</v>
      </c>
      <c r="L23" s="20">
        <v>0</v>
      </c>
      <c r="M23" s="20">
        <v>0</v>
      </c>
      <c r="N23" s="21">
        <v>0</v>
      </c>
      <c r="O23" s="20">
        <v>0</v>
      </c>
      <c r="P23" s="20">
        <f>L23+O23</f>
      </c>
      <c r="Q23" s="20">
        <f>C23+F23+J23+M23</f>
      </c>
      <c r="R23" s="21">
        <f>D23+G23+K23+N23</f>
      </c>
      <c r="S23" s="20">
        <f>I23+P23</f>
      </c>
      <c r="T23" s="22">
        <f>IF(R23&gt;0, S23/R23, 0)</f>
      </c>
    </row>
    <row r="24">
      <c r="A24" s="19" t="s">
        <v>15</v>
      </c>
      <c r="B24" s="6" t="s">
        <v>19</v>
      </c>
      <c r="C24" s="20">
        <v>0</v>
      </c>
      <c r="D24" s="21">
        <v>0</v>
      </c>
      <c r="E24" s="20">
        <v>0</v>
      </c>
      <c r="F24" s="20">
        <v>7</v>
      </c>
      <c r="G24" s="21">
        <v>8.57</v>
      </c>
      <c r="H24" s="20">
        <v>651.32</v>
      </c>
      <c r="I24" s="20">
        <f>E24+H24</f>
      </c>
      <c r="J24" s="20">
        <v>0</v>
      </c>
      <c r="K24" s="21">
        <v>0</v>
      </c>
      <c r="L24" s="20">
        <v>0</v>
      </c>
      <c r="M24" s="20">
        <v>0</v>
      </c>
      <c r="N24" s="21">
        <v>0</v>
      </c>
      <c r="O24" s="20">
        <v>0</v>
      </c>
      <c r="P24" s="20">
        <f>L24+O24</f>
      </c>
      <c r="Q24" s="20">
        <f>C24+F24+J24+M24</f>
      </c>
      <c r="R24" s="21">
        <f>D24+G24+K24+N24</f>
      </c>
      <c r="S24" s="20">
        <f>I24+P24</f>
      </c>
      <c r="T24" s="22">
        <f>IF(R24&gt;0, S24/R24, 0)</f>
      </c>
    </row>
    <row r="25">
      <c r="A25" s="19" t="s">
        <v>15</v>
      </c>
      <c r="B25" s="6" t="s">
        <v>16</v>
      </c>
      <c r="C25" s="20">
        <v>0</v>
      </c>
      <c r="D25" s="21">
        <v>0</v>
      </c>
      <c r="E25" s="20">
        <v>0</v>
      </c>
      <c r="F25" s="20">
        <v>9</v>
      </c>
      <c r="G25" s="21">
        <v>11.87</v>
      </c>
      <c r="H25" s="20">
        <v>994.77</v>
      </c>
      <c r="I25" s="20">
        <f>E25+H25</f>
      </c>
      <c r="J25" s="20">
        <v>0</v>
      </c>
      <c r="K25" s="21">
        <v>0</v>
      </c>
      <c r="L25" s="20">
        <v>0</v>
      </c>
      <c r="M25" s="20">
        <v>0</v>
      </c>
      <c r="N25" s="21">
        <v>0</v>
      </c>
      <c r="O25" s="20">
        <v>0</v>
      </c>
      <c r="P25" s="20">
        <f>L25+O25</f>
      </c>
      <c r="Q25" s="20">
        <f>C25+F25+J25+M25</f>
      </c>
      <c r="R25" s="21">
        <f>D25+G25+K25+N25</f>
      </c>
      <c r="S25" s="20">
        <f>I25+P25</f>
      </c>
      <c r="T25" s="22">
        <f>IF(R25&gt;0, S25/R25, 0)</f>
      </c>
    </row>
    <row r="26" s="2" customFormat="1">
      <c r="A26" s="14" t="s">
        <v>27</v>
      </c>
      <c r="B26" s="15" t="s">
        <v>15</v>
      </c>
      <c r="C26" s="16">
        <f>SUM(C27:C28)</f>
      </c>
      <c r="D26" s="17">
        <f>SUM(D27:D28)</f>
      </c>
      <c r="E26" s="16">
        <f>SUM(E27:E28)</f>
      </c>
      <c r="F26" s="16">
        <f>SUM(F27:F28)</f>
      </c>
      <c r="G26" s="17">
        <f>SUM(G27:G28)</f>
      </c>
      <c r="H26" s="16">
        <f>SUM(H27:H28)</f>
      </c>
      <c r="I26" s="16">
        <f>SUM(I27:I28)</f>
      </c>
      <c r="J26" s="16">
        <f>SUM(J27:J28)</f>
      </c>
      <c r="K26" s="17">
        <f>SUM(K27:K28)</f>
      </c>
      <c r="L26" s="16">
        <f>SUM(L27:L28)</f>
      </c>
      <c r="M26" s="16">
        <f>SUM(M27:M28)</f>
      </c>
      <c r="N26" s="17">
        <f>SUM(N27:N28)</f>
      </c>
      <c r="O26" s="16">
        <f>SUM(O27:O28)</f>
      </c>
      <c r="P26" s="16">
        <f>SUM(P27:P28)</f>
      </c>
      <c r="Q26" s="16">
        <f>SUM(Q27:Q28)</f>
      </c>
      <c r="R26" s="17">
        <f>SUM(R27:R28)</f>
      </c>
      <c r="S26" s="16">
        <f>SUM(S27:S28)</f>
      </c>
      <c r="T26" s="18">
        <f>IF(R26&gt;0, S26/R26, 0)</f>
      </c>
    </row>
    <row r="27">
      <c r="A27" s="19" t="s">
        <v>15</v>
      </c>
      <c r="B27" s="23" t="s">
        <v>28</v>
      </c>
      <c r="C27" s="20">
        <v>0</v>
      </c>
      <c r="D27" s="21">
        <v>0</v>
      </c>
      <c r="E27" s="20">
        <v>0</v>
      </c>
      <c r="F27" s="20">
        <v>0</v>
      </c>
      <c r="G27" s="21">
        <v>0</v>
      </c>
      <c r="H27" s="20">
        <v>0</v>
      </c>
      <c r="I27" s="20">
        <f>E27+H27</f>
      </c>
      <c r="J27" s="20">
        <v>0</v>
      </c>
      <c r="K27" s="21">
        <v>0</v>
      </c>
      <c r="L27" s="20">
        <v>0</v>
      </c>
      <c r="M27" s="20">
        <v>485</v>
      </c>
      <c r="N27" s="21">
        <v>629.36</v>
      </c>
      <c r="O27" s="20">
        <v>71244.76</v>
      </c>
      <c r="P27" s="20">
        <f>L27+O27</f>
      </c>
      <c r="Q27" s="20">
        <f>C27+F27+J27+M27</f>
      </c>
      <c r="R27" s="21">
        <f>D27+G27+K27+N27</f>
      </c>
      <c r="S27" s="20">
        <f>I27+P27</f>
      </c>
      <c r="T27" s="22">
        <f>IF(R27&gt;0, S27/R27, 0)</f>
      </c>
    </row>
    <row r="28">
      <c r="A28" s="19" t="s">
        <v>15</v>
      </c>
      <c r="B28" s="23" t="s">
        <v>25</v>
      </c>
      <c r="C28" s="20">
        <v>0</v>
      </c>
      <c r="D28" s="21">
        <v>0</v>
      </c>
      <c r="E28" s="20">
        <v>0</v>
      </c>
      <c r="F28" s="20">
        <v>0</v>
      </c>
      <c r="G28" s="21">
        <v>0</v>
      </c>
      <c r="H28" s="20">
        <v>0</v>
      </c>
      <c r="I28" s="20">
        <f>E28+H28</f>
      </c>
      <c r="J28" s="20">
        <v>0</v>
      </c>
      <c r="K28" s="21">
        <v>0</v>
      </c>
      <c r="L28" s="20">
        <v>0</v>
      </c>
      <c r="M28" s="20">
        <v>3</v>
      </c>
      <c r="N28" s="21">
        <v>5.25</v>
      </c>
      <c r="O28" s="20">
        <v>736.18</v>
      </c>
      <c r="P28" s="20">
        <f>L28+O28</f>
      </c>
      <c r="Q28" s="20">
        <f>C28+F28+J28+M28</f>
      </c>
      <c r="R28" s="21">
        <f>D28+G28+K28+N28</f>
      </c>
      <c r="S28" s="20">
        <f>I28+P28</f>
      </c>
      <c r="T28" s="22">
        <f>IF(R28&gt;0, S28/R28, 0)</f>
      </c>
    </row>
    <row r="29" s="2" customFormat="1">
      <c r="A29" s="14" t="s">
        <v>29</v>
      </c>
      <c r="B29" s="15" t="s">
        <v>15</v>
      </c>
      <c r="C29" s="16">
        <f>SUM(C30:C32)</f>
      </c>
      <c r="D29" s="17">
        <f>SUM(D30:D32)</f>
      </c>
      <c r="E29" s="16">
        <f>SUM(E30:E32)</f>
      </c>
      <c r="F29" s="16">
        <f>SUM(F30:F32)</f>
      </c>
      <c r="G29" s="17">
        <f>SUM(G30:G32)</f>
      </c>
      <c r="H29" s="16">
        <f>SUM(H30:H32)</f>
      </c>
      <c r="I29" s="16">
        <f>SUM(I30:I32)</f>
      </c>
      <c r="J29" s="16">
        <f>SUM(J30:J32)</f>
      </c>
      <c r="K29" s="17">
        <f>SUM(K30:K32)</f>
      </c>
      <c r="L29" s="16">
        <f>SUM(L30:L32)</f>
      </c>
      <c r="M29" s="16">
        <f>SUM(M30:M32)</f>
      </c>
      <c r="N29" s="17">
        <f>SUM(N30:N32)</f>
      </c>
      <c r="O29" s="16">
        <f>SUM(O30:O32)</f>
      </c>
      <c r="P29" s="16">
        <f>SUM(P30:P32)</f>
      </c>
      <c r="Q29" s="16">
        <f>SUM(Q30:Q32)</f>
      </c>
      <c r="R29" s="17">
        <f>SUM(R30:R32)</f>
      </c>
      <c r="S29" s="16">
        <f>SUM(S30:S32)</f>
      </c>
      <c r="T29" s="18">
        <f>IF(R29&gt;0, S29/R29, 0)</f>
      </c>
    </row>
    <row r="30">
      <c r="A30" s="19" t="s">
        <v>15</v>
      </c>
      <c r="B30" s="23" t="s">
        <v>30</v>
      </c>
      <c r="C30" s="20">
        <v>0</v>
      </c>
      <c r="D30" s="21">
        <v>0</v>
      </c>
      <c r="E30" s="20">
        <v>0</v>
      </c>
      <c r="F30" s="20">
        <v>0</v>
      </c>
      <c r="G30" s="21">
        <v>0</v>
      </c>
      <c r="H30" s="20">
        <v>0</v>
      </c>
      <c r="I30" s="20">
        <f>E30+H30</f>
      </c>
      <c r="J30" s="20">
        <v>2</v>
      </c>
      <c r="K30" s="21">
        <v>4.05</v>
      </c>
      <c r="L30" s="20">
        <v>486</v>
      </c>
      <c r="M30" s="20">
        <v>0</v>
      </c>
      <c r="N30" s="21">
        <v>0</v>
      </c>
      <c r="O30" s="20">
        <v>0</v>
      </c>
      <c r="P30" s="20">
        <f>L30+O30</f>
      </c>
      <c r="Q30" s="20">
        <f>C30+F30+J30+M30</f>
      </c>
      <c r="R30" s="21">
        <f>D30+G30+K30+N30</f>
      </c>
      <c r="S30" s="20">
        <f>I30+P30</f>
      </c>
      <c r="T30" s="22">
        <f>IF(R30&gt;0, S30/R30, 0)</f>
      </c>
    </row>
    <row r="31">
      <c r="A31" s="19" t="s">
        <v>15</v>
      </c>
      <c r="B31" s="23" t="s">
        <v>31</v>
      </c>
      <c r="C31" s="20">
        <v>0</v>
      </c>
      <c r="D31" s="21">
        <v>0</v>
      </c>
      <c r="E31" s="20">
        <v>0</v>
      </c>
      <c r="F31" s="20">
        <v>0</v>
      </c>
      <c r="G31" s="21">
        <v>0</v>
      </c>
      <c r="H31" s="20">
        <v>0</v>
      </c>
      <c r="I31" s="20">
        <f>E31+H31</f>
      </c>
      <c r="J31" s="20">
        <v>1</v>
      </c>
      <c r="K31" s="21">
        <v>1.6</v>
      </c>
      <c r="L31" s="20">
        <v>104</v>
      </c>
      <c r="M31" s="20">
        <v>0</v>
      </c>
      <c r="N31" s="21">
        <v>0</v>
      </c>
      <c r="O31" s="20">
        <v>0</v>
      </c>
      <c r="P31" s="20">
        <f>L31+O31</f>
      </c>
      <c r="Q31" s="20">
        <f>C31+F31+J31+M31</f>
      </c>
      <c r="R31" s="21">
        <f>D31+G31+K31+N31</f>
      </c>
      <c r="S31" s="20">
        <f>I31+P31</f>
      </c>
      <c r="T31" s="22">
        <f>IF(R31&gt;0, S31/R31, 0)</f>
      </c>
    </row>
    <row r="32">
      <c r="A32" s="19" t="s">
        <v>15</v>
      </c>
      <c r="B32" s="23" t="s">
        <v>32</v>
      </c>
      <c r="C32" s="20">
        <v>0</v>
      </c>
      <c r="D32" s="21">
        <v>0</v>
      </c>
      <c r="E32" s="20">
        <v>0</v>
      </c>
      <c r="F32" s="20">
        <v>0</v>
      </c>
      <c r="G32" s="21">
        <v>0</v>
      </c>
      <c r="H32" s="20">
        <v>0</v>
      </c>
      <c r="I32" s="20">
        <f>E32+H32</f>
      </c>
      <c r="J32" s="20">
        <v>16</v>
      </c>
      <c r="K32" s="21">
        <v>28.5</v>
      </c>
      <c r="L32" s="20">
        <v>5556.52</v>
      </c>
      <c r="M32" s="20">
        <v>0</v>
      </c>
      <c r="N32" s="21">
        <v>0</v>
      </c>
      <c r="O32" s="20">
        <v>0</v>
      </c>
      <c r="P32" s="20">
        <f>L32+O32</f>
      </c>
      <c r="Q32" s="20">
        <f>C32+F32+J32+M32</f>
      </c>
      <c r="R32" s="21">
        <f>D32+G32+K32+N32</f>
      </c>
      <c r="S32" s="20">
        <f>I32+P32</f>
      </c>
      <c r="T32" s="22">
        <f>IF(R32&gt;0, S32/R32, 0)</f>
      </c>
    </row>
    <row r="33" s="2" customFormat="1">
      <c r="A33" s="14" t="s">
        <v>33</v>
      </c>
      <c r="B33" s="15" t="s">
        <v>15</v>
      </c>
      <c r="C33" s="16">
        <f>SUM(C34:C37)</f>
      </c>
      <c r="D33" s="17">
        <f>SUM(D34:D37)</f>
      </c>
      <c r="E33" s="16">
        <f>SUM(E34:E37)</f>
      </c>
      <c r="F33" s="16">
        <f>SUM(F34:F37)</f>
      </c>
      <c r="G33" s="17">
        <f>SUM(G34:G37)</f>
      </c>
      <c r="H33" s="16">
        <f>SUM(H34:H37)</f>
      </c>
      <c r="I33" s="16">
        <f>SUM(I34:I37)</f>
      </c>
      <c r="J33" s="16">
        <f>SUM(J34:J37)</f>
      </c>
      <c r="K33" s="17">
        <f>SUM(K34:K37)</f>
      </c>
      <c r="L33" s="16">
        <f>SUM(L34:L37)</f>
      </c>
      <c r="M33" s="16">
        <f>SUM(M34:M37)</f>
      </c>
      <c r="N33" s="17">
        <f>SUM(N34:N37)</f>
      </c>
      <c r="O33" s="16">
        <f>SUM(O34:O37)</f>
      </c>
      <c r="P33" s="16">
        <f>SUM(P34:P37)</f>
      </c>
      <c r="Q33" s="16">
        <f>SUM(Q34:Q37)</f>
      </c>
      <c r="R33" s="17">
        <f>SUM(R34:R37)</f>
      </c>
      <c r="S33" s="16">
        <f>SUM(S34:S37)</f>
      </c>
      <c r="T33" s="18">
        <f>IF(R33&gt;0, S33/R33, 0)</f>
      </c>
    </row>
    <row r="34">
      <c r="A34" s="19" t="s">
        <v>15</v>
      </c>
      <c r="B34" s="6" t="s">
        <v>23</v>
      </c>
      <c r="C34" s="20">
        <v>0</v>
      </c>
      <c r="D34" s="21">
        <v>0</v>
      </c>
      <c r="E34" s="20">
        <v>0</v>
      </c>
      <c r="F34" s="20">
        <v>6</v>
      </c>
      <c r="G34" s="21">
        <v>9.94</v>
      </c>
      <c r="H34" s="20">
        <v>889.05</v>
      </c>
      <c r="I34" s="20">
        <f>E34+H34</f>
      </c>
      <c r="J34" s="20">
        <v>0</v>
      </c>
      <c r="K34" s="21">
        <v>0</v>
      </c>
      <c r="L34" s="20">
        <v>0</v>
      </c>
      <c r="M34" s="20">
        <v>0</v>
      </c>
      <c r="N34" s="21">
        <v>0</v>
      </c>
      <c r="O34" s="20">
        <v>0</v>
      </c>
      <c r="P34" s="20">
        <f>L34+O34</f>
      </c>
      <c r="Q34" s="20">
        <f>C34+F34+J34+M34</f>
      </c>
      <c r="R34" s="21">
        <f>D34+G34+K34+N34</f>
      </c>
      <c r="S34" s="20">
        <f>I34+P34</f>
      </c>
      <c r="T34" s="22">
        <f>IF(R34&gt;0, S34/R34, 0)</f>
      </c>
    </row>
    <row r="35">
      <c r="A35" s="19" t="s">
        <v>15</v>
      </c>
      <c r="B35" s="6" t="s">
        <v>18</v>
      </c>
      <c r="C35" s="20">
        <v>0</v>
      </c>
      <c r="D35" s="21">
        <v>0</v>
      </c>
      <c r="E35" s="20">
        <v>0</v>
      </c>
      <c r="F35" s="20">
        <v>17</v>
      </c>
      <c r="G35" s="21">
        <v>28.14</v>
      </c>
      <c r="H35" s="20">
        <v>2406.86</v>
      </c>
      <c r="I35" s="20">
        <f>E35+H35</f>
      </c>
      <c r="J35" s="20">
        <v>0</v>
      </c>
      <c r="K35" s="21">
        <v>0</v>
      </c>
      <c r="L35" s="20">
        <v>0</v>
      </c>
      <c r="M35" s="20">
        <v>0</v>
      </c>
      <c r="N35" s="21">
        <v>0</v>
      </c>
      <c r="O35" s="20">
        <v>0</v>
      </c>
      <c r="P35" s="20">
        <f>L35+O35</f>
      </c>
      <c r="Q35" s="20">
        <f>C35+F35+J35+M35</f>
      </c>
      <c r="R35" s="21">
        <f>D35+G35+K35+N35</f>
      </c>
      <c r="S35" s="20">
        <f>I35+P35</f>
      </c>
      <c r="T35" s="22">
        <f>IF(R35&gt;0, S35/R35, 0)</f>
      </c>
    </row>
    <row r="36">
      <c r="A36" s="19" t="s">
        <v>15</v>
      </c>
      <c r="B36" s="6" t="s">
        <v>19</v>
      </c>
      <c r="C36" s="20">
        <v>0</v>
      </c>
      <c r="D36" s="21">
        <v>0</v>
      </c>
      <c r="E36" s="20">
        <v>0</v>
      </c>
      <c r="F36" s="20">
        <v>27</v>
      </c>
      <c r="G36" s="21">
        <v>34.17</v>
      </c>
      <c r="H36" s="20">
        <v>2696.28</v>
      </c>
      <c r="I36" s="20">
        <f>E36+H36</f>
      </c>
      <c r="J36" s="20">
        <v>0</v>
      </c>
      <c r="K36" s="21">
        <v>0</v>
      </c>
      <c r="L36" s="20">
        <v>0</v>
      </c>
      <c r="M36" s="20">
        <v>0</v>
      </c>
      <c r="N36" s="21">
        <v>0</v>
      </c>
      <c r="O36" s="20">
        <v>0</v>
      </c>
      <c r="P36" s="20">
        <f>L36+O36</f>
      </c>
      <c r="Q36" s="20">
        <f>C36+F36+J36+M36</f>
      </c>
      <c r="R36" s="21">
        <f>D36+G36+K36+N36</f>
      </c>
      <c r="S36" s="20">
        <f>I36+P36</f>
      </c>
      <c r="T36" s="22">
        <f>IF(R36&gt;0, S36/R36, 0)</f>
      </c>
    </row>
    <row r="37">
      <c r="A37" s="19" t="s">
        <v>15</v>
      </c>
      <c r="B37" s="6" t="s">
        <v>16</v>
      </c>
      <c r="C37" s="20">
        <v>21</v>
      </c>
      <c r="D37" s="21">
        <v>21.51</v>
      </c>
      <c r="E37" s="20">
        <v>1665.63</v>
      </c>
      <c r="F37" s="20">
        <v>11</v>
      </c>
      <c r="G37" s="21">
        <v>23.05</v>
      </c>
      <c r="H37" s="20">
        <v>2170.53</v>
      </c>
      <c r="I37" s="20">
        <f>E37+H37</f>
      </c>
      <c r="J37" s="20">
        <v>0</v>
      </c>
      <c r="K37" s="21">
        <v>0</v>
      </c>
      <c r="L37" s="20">
        <v>0</v>
      </c>
      <c r="M37" s="20">
        <v>0</v>
      </c>
      <c r="N37" s="21">
        <v>0</v>
      </c>
      <c r="O37" s="20">
        <v>0</v>
      </c>
      <c r="P37" s="20">
        <f>L37+O37</f>
      </c>
      <c r="Q37" s="20">
        <f>C37+F37+J37+M37</f>
      </c>
      <c r="R37" s="21">
        <f>D37+G37+K37+N37</f>
      </c>
      <c r="S37" s="20">
        <f>I37+P37</f>
      </c>
      <c r="T37" s="22">
        <f>IF(R37&gt;0, S37/R37, 0)</f>
      </c>
    </row>
    <row r="38" s="2" customFormat="1">
      <c r="A38" s="14" t="s">
        <v>34</v>
      </c>
      <c r="B38" s="15" t="s">
        <v>15</v>
      </c>
      <c r="C38" s="16">
        <f>SUM(C39:C40)</f>
      </c>
      <c r="D38" s="17">
        <f>SUM(D39:D40)</f>
      </c>
      <c r="E38" s="16">
        <f>SUM(E39:E40)</f>
      </c>
      <c r="F38" s="16">
        <f>SUM(F39:F40)</f>
      </c>
      <c r="G38" s="17">
        <f>SUM(G39:G40)</f>
      </c>
      <c r="H38" s="16">
        <f>SUM(H39:H40)</f>
      </c>
      <c r="I38" s="16">
        <f>SUM(I39:I40)</f>
      </c>
      <c r="J38" s="16">
        <f>SUM(J39:J40)</f>
      </c>
      <c r="K38" s="17">
        <f>SUM(K39:K40)</f>
      </c>
      <c r="L38" s="16">
        <f>SUM(L39:L40)</f>
      </c>
      <c r="M38" s="16">
        <f>SUM(M39:M40)</f>
      </c>
      <c r="N38" s="17">
        <f>SUM(N39:N40)</f>
      </c>
      <c r="O38" s="16">
        <f>SUM(O39:O40)</f>
      </c>
      <c r="P38" s="16">
        <f>SUM(P39:P40)</f>
      </c>
      <c r="Q38" s="16">
        <f>SUM(Q39:Q40)</f>
      </c>
      <c r="R38" s="17">
        <f>SUM(R39:R40)</f>
      </c>
      <c r="S38" s="16">
        <f>SUM(S39:S40)</f>
      </c>
      <c r="T38" s="18">
        <f>IF(R38&gt;0, S38/R38, 0)</f>
      </c>
    </row>
    <row r="39">
      <c r="A39" s="19" t="s">
        <v>15</v>
      </c>
      <c r="B39" s="23" t="s">
        <v>35</v>
      </c>
      <c r="C39" s="20">
        <v>0</v>
      </c>
      <c r="D39" s="21">
        <v>0</v>
      </c>
      <c r="E39" s="20">
        <v>0</v>
      </c>
      <c r="F39" s="20">
        <v>0</v>
      </c>
      <c r="G39" s="21">
        <v>0</v>
      </c>
      <c r="H39" s="20">
        <v>0</v>
      </c>
      <c r="I39" s="20">
        <f>E39+H39</f>
      </c>
      <c r="J39" s="20">
        <v>0</v>
      </c>
      <c r="K39" s="21">
        <v>0</v>
      </c>
      <c r="L39" s="20">
        <v>0</v>
      </c>
      <c r="M39" s="20">
        <v>1</v>
      </c>
      <c r="N39" s="21">
        <v>5.02</v>
      </c>
      <c r="O39" s="20">
        <v>903.6</v>
      </c>
      <c r="P39" s="20">
        <f>L39+O39</f>
      </c>
      <c r="Q39" s="20">
        <f>C39+F39+J39+M39</f>
      </c>
      <c r="R39" s="21">
        <f>D39+G39+K39+N39</f>
      </c>
      <c r="S39" s="20">
        <f>I39+P39</f>
      </c>
      <c r="T39" s="22">
        <f>IF(R39&gt;0, S39/R39, 0)</f>
      </c>
    </row>
    <row r="40">
      <c r="A40" s="19" t="s">
        <v>15</v>
      </c>
      <c r="B40" s="23" t="s">
        <v>36</v>
      </c>
      <c r="C40" s="20">
        <v>0</v>
      </c>
      <c r="D40" s="21">
        <v>0</v>
      </c>
      <c r="E40" s="20">
        <v>0</v>
      </c>
      <c r="F40" s="20">
        <v>0</v>
      </c>
      <c r="G40" s="21">
        <v>0</v>
      </c>
      <c r="H40" s="20">
        <v>0</v>
      </c>
      <c r="I40" s="20">
        <f>E40+H40</f>
      </c>
      <c r="J40" s="20">
        <v>1</v>
      </c>
      <c r="K40" s="21">
        <v>1.5</v>
      </c>
      <c r="L40" s="20">
        <v>163.5</v>
      </c>
      <c r="M40" s="20">
        <v>0</v>
      </c>
      <c r="N40" s="21">
        <v>0</v>
      </c>
      <c r="O40" s="20">
        <v>0</v>
      </c>
      <c r="P40" s="20">
        <f>L40+O40</f>
      </c>
      <c r="Q40" s="20">
        <f>C40+F40+J40+M40</f>
      </c>
      <c r="R40" s="21">
        <f>D40+G40+K40+N40</f>
      </c>
      <c r="S40" s="20">
        <f>I40+P40</f>
      </c>
      <c r="T40" s="22">
        <f>IF(R40&gt;0, S40/R40, 0)</f>
      </c>
    </row>
    <row r="41" s="2" customFormat="1">
      <c r="A41" s="14" t="s">
        <v>37</v>
      </c>
      <c r="B41" s="15" t="s">
        <v>15</v>
      </c>
      <c r="C41" s="16">
        <f>SUM(C42:C53)</f>
      </c>
      <c r="D41" s="17">
        <f>SUM(D42:D53)</f>
      </c>
      <c r="E41" s="16">
        <f>SUM(E42:E53)</f>
      </c>
      <c r="F41" s="16">
        <f>SUM(F42:F53)</f>
      </c>
      <c r="G41" s="17">
        <f>SUM(G42:G53)</f>
      </c>
      <c r="H41" s="16">
        <f>SUM(H42:H53)</f>
      </c>
      <c r="I41" s="16">
        <f>SUM(I42:I53)</f>
      </c>
      <c r="J41" s="16">
        <f>SUM(J42:J53)</f>
      </c>
      <c r="K41" s="17">
        <f>SUM(K42:K53)</f>
      </c>
      <c r="L41" s="16">
        <f>SUM(L42:L53)</f>
      </c>
      <c r="M41" s="16">
        <f>SUM(M42:M53)</f>
      </c>
      <c r="N41" s="17">
        <f>SUM(N42:N53)</f>
      </c>
      <c r="O41" s="16">
        <f>SUM(O42:O53)</f>
      </c>
      <c r="P41" s="16">
        <f>SUM(P42:P53)</f>
      </c>
      <c r="Q41" s="16">
        <f>SUM(Q42:Q53)</f>
      </c>
      <c r="R41" s="17">
        <f>SUM(R42:R53)</f>
      </c>
      <c r="S41" s="16">
        <f>SUM(S42:S53)</f>
      </c>
      <c r="T41" s="18">
        <f>IF(R41&gt;0, S41/R41, 0)</f>
      </c>
    </row>
    <row r="42">
      <c r="A42" s="19" t="s">
        <v>15</v>
      </c>
      <c r="B42" s="23" t="s">
        <v>28</v>
      </c>
      <c r="C42" s="20">
        <v>0</v>
      </c>
      <c r="D42" s="21">
        <v>0</v>
      </c>
      <c r="E42" s="20">
        <v>0</v>
      </c>
      <c r="F42" s="20">
        <v>0</v>
      </c>
      <c r="G42" s="21">
        <v>0</v>
      </c>
      <c r="H42" s="20">
        <v>0</v>
      </c>
      <c r="I42" s="20">
        <f>E42+H42</f>
      </c>
      <c r="J42" s="20">
        <v>0</v>
      </c>
      <c r="K42" s="21">
        <v>0</v>
      </c>
      <c r="L42" s="20">
        <v>0</v>
      </c>
      <c r="M42" s="20">
        <v>39</v>
      </c>
      <c r="N42" s="21">
        <v>175.26</v>
      </c>
      <c r="O42" s="20">
        <v>21579.87</v>
      </c>
      <c r="P42" s="20">
        <f>L42+O42</f>
      </c>
      <c r="Q42" s="20">
        <f>C42+F42+J42+M42</f>
      </c>
      <c r="R42" s="21">
        <f>D42+G42+K42+N42</f>
      </c>
      <c r="S42" s="20">
        <f>I42+P42</f>
      </c>
      <c r="T42" s="22">
        <f>IF(R42&gt;0, S42/R42, 0)</f>
      </c>
    </row>
    <row r="43">
      <c r="A43" s="19" t="s">
        <v>15</v>
      </c>
      <c r="B43" s="23" t="s">
        <v>25</v>
      </c>
      <c r="C43" s="20">
        <v>0</v>
      </c>
      <c r="D43" s="21">
        <v>0</v>
      </c>
      <c r="E43" s="20">
        <v>0</v>
      </c>
      <c r="F43" s="20">
        <v>0</v>
      </c>
      <c r="G43" s="21">
        <v>0</v>
      </c>
      <c r="H43" s="20">
        <v>0</v>
      </c>
      <c r="I43" s="20">
        <f>E43+H43</f>
      </c>
      <c r="J43" s="20">
        <v>4</v>
      </c>
      <c r="K43" s="21">
        <v>4.81</v>
      </c>
      <c r="L43" s="20">
        <v>527.85</v>
      </c>
      <c r="M43" s="20">
        <v>7</v>
      </c>
      <c r="N43" s="21">
        <v>18.32</v>
      </c>
      <c r="O43" s="20">
        <v>2045.4</v>
      </c>
      <c r="P43" s="20">
        <f>L43+O43</f>
      </c>
      <c r="Q43" s="20">
        <f>C43+F43+J43+M43</f>
      </c>
      <c r="R43" s="21">
        <f>D43+G43+K43+N43</f>
      </c>
      <c r="S43" s="20">
        <f>I43+P43</f>
      </c>
      <c r="T43" s="22">
        <f>IF(R43&gt;0, S43/R43, 0)</f>
      </c>
    </row>
    <row r="44">
      <c r="A44" s="19" t="s">
        <v>15</v>
      </c>
      <c r="B44" s="23" t="s">
        <v>38</v>
      </c>
      <c r="C44" s="20">
        <v>0</v>
      </c>
      <c r="D44" s="21">
        <v>0</v>
      </c>
      <c r="E44" s="20">
        <v>0</v>
      </c>
      <c r="F44" s="20">
        <v>0</v>
      </c>
      <c r="G44" s="21">
        <v>0</v>
      </c>
      <c r="H44" s="20">
        <v>0</v>
      </c>
      <c r="I44" s="20">
        <f>E44+H44</f>
      </c>
      <c r="J44" s="20">
        <v>0</v>
      </c>
      <c r="K44" s="21">
        <v>0</v>
      </c>
      <c r="L44" s="20">
        <v>0</v>
      </c>
      <c r="M44" s="20">
        <v>1</v>
      </c>
      <c r="N44" s="21">
        <v>4.05</v>
      </c>
      <c r="O44" s="20">
        <v>364.5</v>
      </c>
      <c r="P44" s="20">
        <f>L44+O44</f>
      </c>
      <c r="Q44" s="20">
        <f>C44+F44+J44+M44</f>
      </c>
      <c r="R44" s="21">
        <f>D44+G44+K44+N44</f>
      </c>
      <c r="S44" s="20">
        <f>I44+P44</f>
      </c>
      <c r="T44" s="22">
        <f>IF(R44&gt;0, S44/R44, 0)</f>
      </c>
    </row>
    <row r="45">
      <c r="A45" s="19" t="s">
        <v>15</v>
      </c>
      <c r="B45" s="23" t="s">
        <v>39</v>
      </c>
      <c r="C45" s="20">
        <v>0</v>
      </c>
      <c r="D45" s="21">
        <v>0</v>
      </c>
      <c r="E45" s="20">
        <v>0</v>
      </c>
      <c r="F45" s="20">
        <v>0</v>
      </c>
      <c r="G45" s="21">
        <v>0</v>
      </c>
      <c r="H45" s="20">
        <v>0</v>
      </c>
      <c r="I45" s="20">
        <f>E45+H45</f>
      </c>
      <c r="J45" s="20">
        <v>0</v>
      </c>
      <c r="K45" s="21">
        <v>0</v>
      </c>
      <c r="L45" s="20">
        <v>0</v>
      </c>
      <c r="M45" s="20">
        <v>1</v>
      </c>
      <c r="N45" s="21">
        <v>2.07</v>
      </c>
      <c r="O45" s="20">
        <v>202.86</v>
      </c>
      <c r="P45" s="20">
        <f>L45+O45</f>
      </c>
      <c r="Q45" s="20">
        <f>C45+F45+J45+M45</f>
      </c>
      <c r="R45" s="21">
        <f>D45+G45+K45+N45</f>
      </c>
      <c r="S45" s="20">
        <f>I45+P45</f>
      </c>
      <c r="T45" s="22">
        <f>IF(R45&gt;0, S45/R45, 0)</f>
      </c>
    </row>
    <row r="46">
      <c r="A46" s="19" t="s">
        <v>15</v>
      </c>
      <c r="B46" s="23" t="s">
        <v>40</v>
      </c>
      <c r="C46" s="20">
        <v>0</v>
      </c>
      <c r="D46" s="21">
        <v>0</v>
      </c>
      <c r="E46" s="20">
        <v>0</v>
      </c>
      <c r="F46" s="20">
        <v>0</v>
      </c>
      <c r="G46" s="21">
        <v>0</v>
      </c>
      <c r="H46" s="20">
        <v>0</v>
      </c>
      <c r="I46" s="20">
        <f>E46+H46</f>
      </c>
      <c r="J46" s="20">
        <v>0</v>
      </c>
      <c r="K46" s="21">
        <v>0</v>
      </c>
      <c r="L46" s="20">
        <v>0</v>
      </c>
      <c r="M46" s="20">
        <v>1</v>
      </c>
      <c r="N46" s="21">
        <v>2.04</v>
      </c>
      <c r="O46" s="20">
        <v>222.14</v>
      </c>
      <c r="P46" s="20">
        <f>L46+O46</f>
      </c>
      <c r="Q46" s="20">
        <f>C46+F46+J46+M46</f>
      </c>
      <c r="R46" s="21">
        <f>D46+G46+K46+N46</f>
      </c>
      <c r="S46" s="20">
        <f>I46+P46</f>
      </c>
      <c r="T46" s="22">
        <f>IF(R46&gt;0, S46/R46, 0)</f>
      </c>
    </row>
    <row r="47">
      <c r="A47" s="19" t="s">
        <v>15</v>
      </c>
      <c r="B47" s="23" t="s">
        <v>41</v>
      </c>
      <c r="C47" s="20">
        <v>0</v>
      </c>
      <c r="D47" s="21">
        <v>0</v>
      </c>
      <c r="E47" s="20">
        <v>0</v>
      </c>
      <c r="F47" s="20">
        <v>0</v>
      </c>
      <c r="G47" s="21">
        <v>0</v>
      </c>
      <c r="H47" s="20">
        <v>0</v>
      </c>
      <c r="I47" s="20">
        <f>E47+H47</f>
      </c>
      <c r="J47" s="20">
        <v>0</v>
      </c>
      <c r="K47" s="21">
        <v>0</v>
      </c>
      <c r="L47" s="20">
        <v>0</v>
      </c>
      <c r="M47" s="20">
        <v>1</v>
      </c>
      <c r="N47" s="21">
        <v>1.6</v>
      </c>
      <c r="O47" s="20">
        <v>0</v>
      </c>
      <c r="P47" s="20">
        <f>L47+O47</f>
      </c>
      <c r="Q47" s="20">
        <f>C47+F47+J47+M47</f>
      </c>
      <c r="R47" s="21">
        <f>D47+G47+K47+N47</f>
      </c>
      <c r="S47" s="20">
        <f>I47+P47</f>
      </c>
      <c r="T47" s="22">
        <f>IF(R47&gt;0, S47/R47, 0)</f>
      </c>
    </row>
    <row r="48">
      <c r="A48" s="19" t="s">
        <v>15</v>
      </c>
      <c r="B48" s="6" t="s">
        <v>42</v>
      </c>
      <c r="C48" s="20">
        <v>0</v>
      </c>
      <c r="D48" s="21">
        <v>0</v>
      </c>
      <c r="E48" s="20">
        <v>0</v>
      </c>
      <c r="F48" s="20">
        <v>0</v>
      </c>
      <c r="G48" s="21">
        <v>0</v>
      </c>
      <c r="H48" s="20">
        <v>0</v>
      </c>
      <c r="I48" s="20">
        <f>E48+H48</f>
      </c>
      <c r="J48" s="20">
        <v>0</v>
      </c>
      <c r="K48" s="21">
        <v>0</v>
      </c>
      <c r="L48" s="20">
        <v>0</v>
      </c>
      <c r="M48" s="20">
        <v>1</v>
      </c>
      <c r="N48" s="21">
        <v>1.08</v>
      </c>
      <c r="O48" s="20">
        <v>0</v>
      </c>
      <c r="P48" s="20">
        <f>L48+O48</f>
      </c>
      <c r="Q48" s="20">
        <f>C48+F48+J48+M48</f>
      </c>
      <c r="R48" s="21">
        <f>D48+G48+K48+N48</f>
      </c>
      <c r="S48" s="20">
        <f>I48+P48</f>
      </c>
      <c r="T48" s="22">
        <f>IF(R48&gt;0, S48/R48, 0)</f>
      </c>
    </row>
    <row r="49">
      <c r="A49" s="19" t="s">
        <v>15</v>
      </c>
      <c r="B49" s="23" t="s">
        <v>43</v>
      </c>
      <c r="C49" s="20">
        <v>0</v>
      </c>
      <c r="D49" s="21">
        <v>0</v>
      </c>
      <c r="E49" s="20">
        <v>0</v>
      </c>
      <c r="F49" s="20">
        <v>0</v>
      </c>
      <c r="G49" s="21">
        <v>0</v>
      </c>
      <c r="H49" s="20">
        <v>0</v>
      </c>
      <c r="I49" s="20">
        <f>E49+H49</f>
      </c>
      <c r="J49" s="20">
        <v>0</v>
      </c>
      <c r="K49" s="21">
        <v>0</v>
      </c>
      <c r="L49" s="20">
        <v>0</v>
      </c>
      <c r="M49" s="20">
        <v>4</v>
      </c>
      <c r="N49" s="21">
        <v>8.6</v>
      </c>
      <c r="O49" s="20">
        <v>877.92</v>
      </c>
      <c r="P49" s="20">
        <f>L49+O49</f>
      </c>
      <c r="Q49" s="20">
        <f>C49+F49+J49+M49</f>
      </c>
      <c r="R49" s="21">
        <f>D49+G49+K49+N49</f>
      </c>
      <c r="S49" s="20">
        <f>I49+P49</f>
      </c>
      <c r="T49" s="22">
        <f>IF(R49&gt;0, S49/R49, 0)</f>
      </c>
    </row>
    <row r="50">
      <c r="A50" s="19" t="s">
        <v>15</v>
      </c>
      <c r="B50" s="6" t="s">
        <v>44</v>
      </c>
      <c r="C50" s="20">
        <v>0</v>
      </c>
      <c r="D50" s="21">
        <v>0</v>
      </c>
      <c r="E50" s="20">
        <v>0</v>
      </c>
      <c r="F50" s="20">
        <v>0</v>
      </c>
      <c r="G50" s="21">
        <v>0</v>
      </c>
      <c r="H50" s="20">
        <v>0</v>
      </c>
      <c r="I50" s="20">
        <f>E50+H50</f>
      </c>
      <c r="J50" s="20">
        <v>0</v>
      </c>
      <c r="K50" s="21">
        <v>0</v>
      </c>
      <c r="L50" s="20">
        <v>0</v>
      </c>
      <c r="M50" s="20">
        <v>1</v>
      </c>
      <c r="N50" s="21">
        <v>1.53</v>
      </c>
      <c r="O50" s="20">
        <v>0</v>
      </c>
      <c r="P50" s="20">
        <f>L50+O50</f>
      </c>
      <c r="Q50" s="20">
        <f>C50+F50+J50+M50</f>
      </c>
      <c r="R50" s="21">
        <f>D50+G50+K50+N50</f>
      </c>
      <c r="S50" s="20">
        <f>I50+P50</f>
      </c>
      <c r="T50" s="22">
        <f>IF(R50&gt;0, S50/R50, 0)</f>
      </c>
    </row>
    <row r="51">
      <c r="A51" s="19" t="s">
        <v>15</v>
      </c>
      <c r="B51" s="6" t="s">
        <v>45</v>
      </c>
      <c r="C51" s="20">
        <v>0</v>
      </c>
      <c r="D51" s="21">
        <v>0</v>
      </c>
      <c r="E51" s="20">
        <v>0</v>
      </c>
      <c r="F51" s="20">
        <v>0</v>
      </c>
      <c r="G51" s="21">
        <v>0</v>
      </c>
      <c r="H51" s="20">
        <v>0</v>
      </c>
      <c r="I51" s="20">
        <f>E51+H51</f>
      </c>
      <c r="J51" s="20">
        <v>97</v>
      </c>
      <c r="K51" s="21">
        <v>136.12</v>
      </c>
      <c r="L51" s="20">
        <v>13995.51</v>
      </c>
      <c r="M51" s="20">
        <v>0</v>
      </c>
      <c r="N51" s="21">
        <v>0</v>
      </c>
      <c r="O51" s="20">
        <v>0</v>
      </c>
      <c r="P51" s="20">
        <f>L51+O51</f>
      </c>
      <c r="Q51" s="20">
        <f>C51+F51+J51+M51</f>
      </c>
      <c r="R51" s="21">
        <f>D51+G51+K51+N51</f>
      </c>
      <c r="S51" s="20">
        <f>I51+P51</f>
      </c>
      <c r="T51" s="22">
        <f>IF(R51&gt;0, S51/R51, 0)</f>
      </c>
    </row>
    <row r="52">
      <c r="A52" s="19" t="s">
        <v>15</v>
      </c>
      <c r="B52" s="6" t="s">
        <v>46</v>
      </c>
      <c r="C52" s="20">
        <v>0</v>
      </c>
      <c r="D52" s="21">
        <v>0</v>
      </c>
      <c r="E52" s="20">
        <v>0</v>
      </c>
      <c r="F52" s="20">
        <v>0</v>
      </c>
      <c r="G52" s="21">
        <v>0</v>
      </c>
      <c r="H52" s="20">
        <v>0</v>
      </c>
      <c r="I52" s="20">
        <f>E52+H52</f>
      </c>
      <c r="J52" s="20">
        <v>369</v>
      </c>
      <c r="K52" s="21">
        <v>557.7</v>
      </c>
      <c r="L52" s="20">
        <v>54931.66</v>
      </c>
      <c r="M52" s="20">
        <v>0</v>
      </c>
      <c r="N52" s="21">
        <v>0</v>
      </c>
      <c r="O52" s="20">
        <v>0</v>
      </c>
      <c r="P52" s="20">
        <f>L52+O52</f>
      </c>
      <c r="Q52" s="20">
        <f>C52+F52+J52+M52</f>
      </c>
      <c r="R52" s="21">
        <f>D52+G52+K52+N52</f>
      </c>
      <c r="S52" s="20">
        <f>I52+P52</f>
      </c>
      <c r="T52" s="22">
        <f>IF(R52&gt;0, S52/R52, 0)</f>
      </c>
    </row>
    <row r="53">
      <c r="A53" s="19" t="s">
        <v>15</v>
      </c>
      <c r="B53" s="6" t="s">
        <v>19</v>
      </c>
      <c r="C53" s="20">
        <v>0</v>
      </c>
      <c r="D53" s="21">
        <v>0</v>
      </c>
      <c r="E53" s="20">
        <v>0</v>
      </c>
      <c r="F53" s="20">
        <v>0</v>
      </c>
      <c r="G53" s="21">
        <v>0</v>
      </c>
      <c r="H53" s="20">
        <v>0</v>
      </c>
      <c r="I53" s="20">
        <f>E53+H53</f>
      </c>
      <c r="J53" s="20">
        <v>1</v>
      </c>
      <c r="K53" s="21">
        <v>1.84</v>
      </c>
      <c r="L53" s="20">
        <v>145.36</v>
      </c>
      <c r="M53" s="20">
        <v>0</v>
      </c>
      <c r="N53" s="21">
        <v>0</v>
      </c>
      <c r="O53" s="20">
        <v>0</v>
      </c>
      <c r="P53" s="20">
        <f>L53+O53</f>
      </c>
      <c r="Q53" s="20">
        <f>C53+F53+J53+M53</f>
      </c>
      <c r="R53" s="21">
        <f>D53+G53+K53+N53</f>
      </c>
      <c r="S53" s="20">
        <f>I53+P53</f>
      </c>
      <c r="T53" s="22">
        <f>IF(R53&gt;0, S53/R53, 0)</f>
      </c>
    </row>
    <row r="54" s="2" customFormat="1">
      <c r="A54" s="24" t="s">
        <v>47</v>
      </c>
      <c r="B54" s="4" t="s">
        <v>15</v>
      </c>
      <c r="C54" s="25">
        <f>C5+C7+C11+C13+C16+C19+C22+C26+C29+C33+C38+C41</f>
      </c>
      <c r="D54" s="26">
        <f>D5+D7+D11+D13+D16+D19+D22+D26+D29+D33+D38+D41</f>
      </c>
      <c r="E54" s="25">
        <f>E5+E7+E11+E13+E16+E19+E22+E26+E29+E33+E38+E41</f>
      </c>
      <c r="F54" s="25">
        <f>F5+F7+F11+F13+F16+F19+F22+F26+F29+F33+F38+F41</f>
      </c>
      <c r="G54" s="26">
        <f>G5+G7+G11+G13+G16+G19+G22+G26+G29+G33+G38+G41</f>
      </c>
      <c r="H54" s="25">
        <f>H5+H7+H11+H13+H16+H19+H22+H26+H29+H33+H38+H41</f>
      </c>
      <c r="I54" s="25">
        <f>I5+I7+I11+I13+I16+I19+I22+I26+I29+I33+I38+I41</f>
      </c>
      <c r="J54" s="25">
        <f>J5+J7+J11+J13+J16+J19+J22+J26+J29+J33+J38+J41</f>
      </c>
      <c r="K54" s="26">
        <f>K5+K7+K11+K13+K16+K19+K22+K26+K29+K33+K38+K41</f>
      </c>
      <c r="L54" s="25">
        <f>L5+L7+L11+L13+L16+L19+L22+L26+L29+L33+L38+L41</f>
      </c>
      <c r="M54" s="25">
        <f>M5+M7+M11+M13+M16+M19+M22+M26+M29+M33+M38+M41</f>
      </c>
      <c r="N54" s="26">
        <f>N5+N7+N11+N13+N16+N19+N22+N26+N29+N33+N38+N41</f>
      </c>
      <c r="O54" s="25">
        <f>O5+O7+O11+O13+O16+O19+O22+O26+O29+O33+O38+O41</f>
      </c>
      <c r="P54" s="25">
        <f>P5+P7+P11+P13+P16+P19+P22+P26+P29+P33+P38+P41</f>
      </c>
      <c r="Q54" s="25">
        <f>Q5+Q7+Q11+Q13+Q16+Q19+Q22+Q26+Q29+Q33+Q38+Q41</f>
      </c>
      <c r="R54" s="26">
        <f>R5+R7+R11+R13+R16+R19+R22+R26+R29+R33+R38+R41</f>
      </c>
      <c r="S54" s="25">
        <f>S5+S7+S11+S13+S16+S19+S22+S26+S29+S33+S38+S41</f>
      </c>
      <c r="T54" s="27">
        <f>IF(R54&gt;0, S54/R54, 0)</f>
      </c>
    </row>
    <row r="55" s="2" customFormat="1">
      <c r="A55" s="14" t="s">
        <v>48</v>
      </c>
      <c r="B55" s="15" t="s">
        <v>15</v>
      </c>
      <c r="C55" s="28">
        <f>IF(Q54&gt;0, C54/Q54, 0)</f>
      </c>
      <c r="D55" s="17"/>
      <c r="E55" s="16"/>
      <c r="F55" s="28">
        <f>IF(Q54&gt;0, F54/Q54, 0)</f>
      </c>
      <c r="G55" s="17"/>
      <c r="H55" s="16"/>
      <c r="I55" s="16"/>
      <c r="J55" s="28">
        <f>IF(Q54&gt;0, J54/Q54, 0)</f>
      </c>
      <c r="K55" s="17"/>
      <c r="L55" s="16"/>
      <c r="M55" s="28">
        <f>IF(Q54&gt;0, M54/Q54, 0)</f>
      </c>
      <c r="N55" s="17"/>
      <c r="O55" s="16"/>
      <c r="P55" s="16"/>
      <c r="Q55" s="28">
        <f>IF(Q54&gt;0, Q54/Q54, 0)</f>
      </c>
      <c r="R55" s="17"/>
      <c r="S55" s="16"/>
      <c r="T55" s="18"/>
    </row>
  </sheetData>
  <mergeCells>
    <mergeCell ref="A1:T1"/>
    <mergeCell ref="A2:A4"/>
    <mergeCell ref="B2:B4"/>
    <mergeCell ref="C2:I2"/>
    <mergeCell ref="J2:P2"/>
    <mergeCell ref="Q2:Q4"/>
    <mergeCell ref="R2:R4"/>
    <mergeCell ref="S2:S4"/>
    <mergeCell ref="T2:T4"/>
    <mergeCell ref="C3:E3"/>
    <mergeCell ref="F3:H3"/>
    <mergeCell ref="I3:I4"/>
    <mergeCell ref="J3:L3"/>
    <mergeCell ref="M3:O3"/>
    <mergeCell ref="P3:P4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MEMO &amp; HOLD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