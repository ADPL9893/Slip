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ALES Summary" sheetId="1" r:id="rId1"/>
    <sheet name="STONE WISE DETAILS" sheetId="2" r:id="rId3"/>
  </sheets>
  <calcPr fullCalcOnLoad="1" fullPrecision="1"/>
</workbook>
</file>

<file path=xl/sharedStrings.xml><?xml version="1.0" encoding="utf-8"?>
<sst xmlns="http://schemas.openxmlformats.org/spreadsheetml/2006/main" count="94" uniqueCount="94">
  <si>
    <r>
      <rPr>
        <rFont val="Aptos Narrow"/>
        <b/>
        <color rgb="FF000000"/>
        <sz val="16"/>
      </rPr>
      <t xml:space="preserve">2026-06-03 </t>
    </r>
    <r>
      <rPr>
        <rFont val="Aptos Narrow"/>
        <b/>
        <color rgb="FFFF0000"/>
        <sz val="16"/>
      </rPr>
      <t>(AVERAGE PER CT $ SALE)</t>
    </r>
    <r>
      <rPr>
        <rFont val="Aptos Narrow"/>
        <b/>
        <color rgb="FF000000"/>
        <sz val="16"/>
      </rPr>
      <t xml:space="preserve"> REPORT</t>
    </r>
  </si>
  <si>
    <t>VVS1</t>
  </si>
  <si>
    <t>VVS2</t>
  </si>
  <si>
    <t>VS1</t>
  </si>
  <si>
    <t>VS2</t>
  </si>
  <si>
    <t>SI1</t>
  </si>
  <si>
    <t>VS1-VS2</t>
  </si>
  <si>
    <t>SIZE</t>
  </si>
  <si>
    <t>Weight</t>
  </si>
  <si>
    <t>Total $</t>
  </si>
  <si>
    <t>$</t>
  </si>
  <si>
    <t>0.50-0.59</t>
  </si>
  <si>
    <t>D</t>
  </si>
  <si>
    <t>E</t>
  </si>
  <si>
    <t>F</t>
  </si>
  <si>
    <t>G</t>
  </si>
  <si>
    <t>H</t>
  </si>
  <si>
    <t>I</t>
  </si>
  <si>
    <t>J</t>
  </si>
  <si>
    <t>K</t>
  </si>
  <si>
    <t>1.00-1.10</t>
  </si>
  <si>
    <t>1.11-1.19</t>
  </si>
  <si>
    <t>1.20-1.30</t>
  </si>
  <si>
    <t>1.31-1.49</t>
  </si>
  <si>
    <t>1.50-1.59</t>
  </si>
  <si>
    <t>1.60-1.69</t>
  </si>
  <si>
    <t>1.70-1.99</t>
  </si>
  <si>
    <t>2.00-2.10</t>
  </si>
  <si>
    <t>2.11-2.49</t>
  </si>
  <si>
    <t>2.50-2.59</t>
  </si>
  <si>
    <t>2.61-2.99</t>
  </si>
  <si>
    <t>3.00-3.10</t>
  </si>
  <si>
    <t>3.11-3.49</t>
  </si>
  <si>
    <t>3.50-3.59</t>
  </si>
  <si>
    <t>3.61-3.99</t>
  </si>
  <si>
    <t>4.00-4.10</t>
  </si>
  <si>
    <t>4.11-4.49</t>
  </si>
  <si>
    <t>4.50-4.99</t>
  </si>
  <si>
    <t>5.00-5.10</t>
  </si>
  <si>
    <t>5.11-5.99</t>
  </si>
  <si>
    <t>6.00-6.99</t>
  </si>
  <si>
    <t>7.00-7.99</t>
  </si>
  <si>
    <t>10.00-10.99</t>
  </si>
  <si>
    <t>ID</t>
  </si>
  <si>
    <t>Stone_NO</t>
  </si>
  <si>
    <t>Shape</t>
  </si>
  <si>
    <t>Color</t>
  </si>
  <si>
    <t>Clarity</t>
  </si>
  <si>
    <t>Cut</t>
  </si>
  <si>
    <t>Polish</t>
  </si>
  <si>
    <t>Symm</t>
  </si>
  <si>
    <t>FlrIntens</t>
  </si>
  <si>
    <t>FlrColor</t>
  </si>
  <si>
    <t>FColor</t>
  </si>
  <si>
    <t>FCIntens</t>
  </si>
  <si>
    <t>FCOverton</t>
  </si>
  <si>
    <t>Lab</t>
  </si>
  <si>
    <t>Lab_Report_No</t>
  </si>
  <si>
    <t>Location</t>
  </si>
  <si>
    <t>LiveRAP</t>
  </si>
  <si>
    <t>SaleDis</t>
  </si>
  <si>
    <t>SaleRate</t>
  </si>
  <si>
    <t>SaleAmt</t>
  </si>
  <si>
    <t>Trans_No</t>
  </si>
  <si>
    <t>Trans_Date</t>
  </si>
  <si>
    <t>Trans_Due_Day</t>
  </si>
  <si>
    <t>Trans_Due_Date</t>
  </si>
  <si>
    <t>Trans_Rap</t>
  </si>
  <si>
    <t>Trans_Dis</t>
  </si>
  <si>
    <t>Trans_Rate</t>
  </si>
  <si>
    <t>Trans_Amt</t>
  </si>
  <si>
    <t>NewArrival</t>
  </si>
  <si>
    <t>StockStatus</t>
  </si>
  <si>
    <t>CVD_HPHT</t>
  </si>
  <si>
    <t>Country</t>
  </si>
  <si>
    <t>State</t>
  </si>
  <si>
    <t>City</t>
  </si>
  <si>
    <t>Seller_Name</t>
  </si>
  <si>
    <t>Branch</t>
  </si>
  <si>
    <t>EntryBy</t>
  </si>
  <si>
    <t>EntryDate</t>
  </si>
  <si>
    <t>Party</t>
  </si>
  <si>
    <t>PartyCountry</t>
  </si>
  <si>
    <t>ExRate</t>
  </si>
  <si>
    <t>PacketPcs</t>
  </si>
  <si>
    <t>BillType</t>
  </si>
  <si>
    <t>INRRate</t>
  </si>
  <si>
    <t>INRAmt</t>
  </si>
  <si>
    <t>FinalRate</t>
  </si>
  <si>
    <t>CRate</t>
  </si>
  <si>
    <t>Tax_Amt</t>
  </si>
  <si>
    <t>UsdRate</t>
  </si>
  <si>
    <t>Created</t>
  </si>
  <si>
    <t>IsActive</t>
  </si>
</sst>
</file>

<file path=xl/styles.xml><?xml version="1.0" encoding="utf-8"?>
<styleSheet xmlns="http://schemas.openxmlformats.org/spreadsheetml/2006/main">
  <numFmts count="4">
    <numFmt numFmtId="164" formatCode="#,##0.00;(#,##0.00);&quot;&quot;"/>
    <numFmt numFmtId="165" formatCode="#,##0;(#,##0);&quot;&quot;"/>
    <numFmt numFmtId="166" formatCode="0;&quot;&quot;"/>
    <numFmt numFmtId="167" formatCode="0.00;&quot;&quot;"/>
  </numFmts>
  <fonts count="4">
    <font>
      <sz val="11"/>
      <name val="Aptos Narrow"/>
    </font>
    <font>
      <b/>
      <sz val="16"/>
      <name val="Aptos Narrow"/>
    </font>
    <font>
      <b/>
      <sz val="11"/>
      <color rgb="FFFFFFFF"/>
      <name val="Aptos Narrow"/>
    </font>
    <font>
      <b/>
      <sz val="11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449BCA"/>
      </patternFill>
    </fill>
    <fill>
      <patternFill patternType="solid">
        <fgColor rgb="FFDDEBF7"/>
      </patternFill>
    </fill>
    <fill>
      <patternFill patternType="solid">
        <fgColor rgb="FFFFC000"/>
      </patternFill>
    </fill>
    <fill>
      <patternFill patternType="solid">
        <fgColor rgb="FF000000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9">
    <xf numFmtId="0" fontId="0" xfId="0"/>
    <xf numFmtId="0" fontId="0" xfId="0" applyAlignment="1">
      <alignment horizontal="center" vertical="center"/>
    </xf>
    <xf numFmtId="0" fontId="1" applyFont="1" xfId="0" applyAlignment="1">
      <alignment horizontal="center" vertical="center"/>
    </xf>
    <xf numFmtId="0" fontId="3" applyFont="1" xfId="0" applyAlignment="1">
      <alignment horizontal="center" vertical="center"/>
    </xf>
    <xf numFmtId="0" fontId="3" applyFont="1" borderId="3" applyBorder="1" xfId="0" applyAlignment="1">
      <alignment horizontal="center" vertical="center"/>
    </xf>
    <xf numFmtId="0" fontId="3" applyFont="1" fillId="3" applyFill="1" borderId="3" applyBorder="1" xfId="0" applyAlignment="1">
      <alignment horizontal="center" vertical="center"/>
    </xf>
    <xf numFmtId="164" applyNumberFormat="1" fontId="3" applyFont="1" fillId="3" applyFill="1" borderId="3" applyBorder="1" xfId="0" applyAlignment="1">
      <alignment horizontal="center" vertical="center"/>
    </xf>
    <xf numFmtId="165" applyNumberFormat="1" fontId="3" applyFont="1" fillId="3" applyFill="1" borderId="3" applyBorder="1" xfId="0" applyAlignment="1">
      <alignment horizontal="center" vertical="center"/>
    </xf>
    <xf numFmtId="166" applyNumberFormat="1" fontId="3" applyFont="1" fillId="4" applyFill="1" borderId="3" applyBorder="1" xfId="0" applyAlignment="1">
      <alignment horizontal="center" vertical="center"/>
    </xf>
    <xf numFmtId="0" fontId="0" borderId="3" applyBorder="1" xfId="0" applyAlignment="1">
      <alignment horizontal="center" vertical="center"/>
    </xf>
    <xf numFmtId="164" applyNumberFormat="1" fontId="0" borderId="3" applyBorder="1" xfId="0" applyAlignment="1">
      <alignment horizontal="center" vertical="center"/>
    </xf>
    <xf numFmtId="165" applyNumberFormat="1" fontId="0" borderId="3" applyBorder="1" xfId="0" applyAlignment="1">
      <alignment horizontal="center" vertical="center"/>
    </xf>
    <xf numFmtId="166" applyNumberFormat="1" fontId="0" borderId="3" applyBorder="1" xfId="0" applyAlignment="1">
      <alignment horizontal="center" vertical="center"/>
    </xf>
    <xf numFmtId="0" fontId="2" applyFont="1" fillId="2" applyFill="1" borderId="3" applyBorder="1" xfId="0" applyAlignment="1">
      <alignment horizontal="center" vertical="center"/>
    </xf>
    <xf numFmtId="167" applyNumberFormat="1" fontId="2" applyFont="1" fillId="5" applyFill="1" borderId="3" applyBorder="1" xfId="0" applyAlignment="1">
      <alignment horizontal="center" vertical="center"/>
    </xf>
    <xf numFmtId="0" fontId="0" borderId="0"/>
    <xf numFmtId="0" fontId="3" applyFont="1" fillId="6" applyFill="1" borderId="1" applyBorder="1"/>
    <xf numFmtId="0" fontId="3" applyFont="1" fillId="6" applyFill="1" borderId="2" applyBorder="1"/>
    <xf numFmtId="0" fontId="3" applyFont="1" fillId="6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V219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2" customWidth="1" style="1"/>
    <col min="4" max="4" width="8" customWidth="1" style="1"/>
    <col min="5" max="5" width="10" customWidth="1" style="1"/>
    <col min="6" max="6" width="12" customWidth="1" style="1"/>
    <col min="7" max="7" width="8" customWidth="1" style="1"/>
    <col min="8" max="8" width="10" customWidth="1" style="1"/>
    <col min="9" max="9" width="12" customWidth="1" style="1"/>
    <col min="10" max="10" width="8" customWidth="1" style="1"/>
    <col min="11" max="11" width="10" customWidth="1" style="1"/>
    <col min="12" max="12" width="12" customWidth="1" style="1"/>
    <col min="13" max="13" width="8" customWidth="1" style="1"/>
    <col min="14" max="14" width="10" customWidth="1" style="1"/>
    <col min="15" max="15" width="12" customWidth="1" style="1"/>
    <col min="16" max="16" width="8" customWidth="1" style="1"/>
    <col min="17" max="17" width="3" customWidth="1" style="1"/>
    <col min="18" max="18" width="3" customWidth="1" style="1"/>
    <col min="19" max="19" width="10" customWidth="1" style="1"/>
    <col min="20" max="20" width="10" customWidth="1" style="1"/>
    <col min="21" max="21" width="12" customWidth="1" style="1"/>
    <col min="22" max="22" width="10" customWidth="1" style="1"/>
    <col min="23" max="16384" width="9.140625" customWidth="1" style="1"/>
  </cols>
  <sheetData>
    <row r="1">
      <c r="A1" s="2" t="s">
        <v>0</v>
      </c>
    </row>
    <row r="2">
      <c r="A2" s="4"/>
      <c r="B2" s="4" t="s">
        <v>1</v>
      </c>
      <c r="C2" s="4"/>
      <c r="D2" s="4"/>
      <c r="E2" s="4" t="s">
        <v>2</v>
      </c>
      <c r="F2" s="4"/>
      <c r="G2" s="4"/>
      <c r="H2" s="4" t="s">
        <v>3</v>
      </c>
      <c r="I2" s="4"/>
      <c r="J2" s="4"/>
      <c r="K2" s="4" t="s">
        <v>4</v>
      </c>
      <c r="L2" s="4"/>
      <c r="M2" s="4"/>
      <c r="N2" s="4" t="s">
        <v>5</v>
      </c>
      <c r="O2" s="4"/>
      <c r="P2" s="4"/>
      <c r="Q2" s="3"/>
      <c r="R2" s="3"/>
      <c r="S2" s="13" t="s">
        <v>1</v>
      </c>
      <c r="T2" s="13" t="s">
        <v>2</v>
      </c>
      <c r="U2" s="13" t="s">
        <v>6</v>
      </c>
      <c r="V2" s="13" t="s">
        <v>5</v>
      </c>
    </row>
    <row r="3">
      <c r="A3" s="4" t="s">
        <v>7</v>
      </c>
      <c r="B3" s="4" t="s">
        <v>8</v>
      </c>
      <c r="C3" s="4" t="s">
        <v>9</v>
      </c>
      <c r="D3" s="4" t="s">
        <v>10</v>
      </c>
      <c r="E3" s="4" t="s">
        <v>8</v>
      </c>
      <c r="F3" s="4" t="s">
        <v>9</v>
      </c>
      <c r="G3" s="4" t="s">
        <v>10</v>
      </c>
      <c r="H3" s="4" t="s">
        <v>8</v>
      </c>
      <c r="I3" s="4" t="s">
        <v>9</v>
      </c>
      <c r="J3" s="4" t="s">
        <v>10</v>
      </c>
      <c r="K3" s="4" t="s">
        <v>8</v>
      </c>
      <c r="L3" s="4" t="s">
        <v>9</v>
      </c>
      <c r="M3" s="4" t="s">
        <v>10</v>
      </c>
      <c r="N3" s="4" t="s">
        <v>8</v>
      </c>
      <c r="O3" s="4" t="s">
        <v>9</v>
      </c>
      <c r="P3" s="4" t="s">
        <v>10</v>
      </c>
      <c r="Q3" s="3"/>
      <c r="R3" s="3"/>
      <c r="S3" s="4"/>
      <c r="T3" s="4"/>
      <c r="U3" s="4"/>
      <c r="V3" s="4"/>
    </row>
    <row r="4">
      <c r="A4" s="5" t="s">
        <v>11</v>
      </c>
      <c r="B4" s="6">
        <f>SUM(B5:B12)</f>
      </c>
      <c r="C4" s="7">
        <f>SUM(C5:C12)</f>
      </c>
      <c r="D4" s="8">
        <f>IF(B4&gt;0,C4/B4,"")</f>
      </c>
      <c r="E4" s="6">
        <f>SUM(E5:E12)</f>
      </c>
      <c r="F4" s="7">
        <f>SUM(F5:F12)</f>
      </c>
      <c r="G4" s="8">
        <f>IF(E4&gt;0,F4/E4,"")</f>
      </c>
      <c r="H4" s="6">
        <f>SUM(H5:H12)</f>
      </c>
      <c r="I4" s="7">
        <f>SUM(I5:I12)</f>
      </c>
      <c r="J4" s="8">
        <f>IF(H4&gt;0,I4/H4,"")</f>
      </c>
      <c r="K4" s="6">
        <f>SUM(K5:K12)</f>
      </c>
      <c r="L4" s="7">
        <f>SUM(L5:L12)</f>
      </c>
      <c r="M4" s="8">
        <f>IF(K4&gt;0,L4/K4,"")</f>
      </c>
      <c r="N4" s="6">
        <f>SUM(N5:N12)</f>
      </c>
      <c r="O4" s="7">
        <f>SUM(O5:O12)</f>
      </c>
      <c r="P4" s="8">
        <f>IF(N4&gt;0,O4/N4,"")</f>
      </c>
      <c r="S4" s="14">
        <f>IF(B4&gt;0,C4/B4,"")</f>
      </c>
      <c r="T4" s="14">
        <f>IF(E4&gt;0,F4/E4,"")</f>
      </c>
      <c r="U4" s="14">
        <f>IF((H4+K4)&gt;0,(I4+L4)/(H4+K4),"")</f>
      </c>
      <c r="V4" s="14">
        <f>IF(N4&gt;0,O4/N4,"")</f>
      </c>
    </row>
    <row r="5">
      <c r="A5" s="9" t="s">
        <v>12</v>
      </c>
      <c r="B5" s="10">
        <v>1.01</v>
      </c>
      <c r="C5" s="11">
        <v>94.94</v>
      </c>
      <c r="D5" s="12">
        <f>IF(B5&gt;0,C5/B5,"")</f>
      </c>
      <c r="E5" s="10">
        <v>0.5</v>
      </c>
      <c r="F5" s="11">
        <v>39.5</v>
      </c>
      <c r="G5" s="12">
        <f>IF(E5&gt;0,F5/E5,"")</f>
      </c>
      <c r="H5" s="10"/>
      <c r="I5" s="11"/>
      <c r="J5" s="12"/>
      <c r="K5" s="10"/>
      <c r="L5" s="11"/>
      <c r="M5" s="12"/>
      <c r="N5" s="10"/>
      <c r="O5" s="11"/>
      <c r="P5" s="12"/>
      <c r="S5" s="9"/>
      <c r="T5" s="9"/>
      <c r="U5" s="9"/>
      <c r="V5" s="9"/>
    </row>
    <row r="6">
      <c r="A6" s="9" t="s">
        <v>13</v>
      </c>
      <c r="B6" s="10">
        <v>0.5</v>
      </c>
      <c r="C6" s="11">
        <v>46</v>
      </c>
      <c r="D6" s="12">
        <f>IF(B6&gt;0,C6/B6,"")</f>
      </c>
      <c r="E6" s="10">
        <v>0.5</v>
      </c>
      <c r="F6" s="11">
        <v>38.5</v>
      </c>
      <c r="G6" s="12">
        <f>IF(E6&gt;0,F6/E6,"")</f>
      </c>
      <c r="H6" s="10"/>
      <c r="I6" s="11"/>
      <c r="J6" s="12"/>
      <c r="K6" s="10"/>
      <c r="L6" s="11"/>
      <c r="M6" s="12"/>
      <c r="N6" s="10"/>
      <c r="O6" s="11"/>
      <c r="P6" s="12"/>
      <c r="S6" s="9"/>
      <c r="T6" s="9"/>
      <c r="U6" s="9"/>
      <c r="V6" s="9"/>
    </row>
    <row r="7">
      <c r="A7" s="9" t="s">
        <v>14</v>
      </c>
      <c r="B7" s="10"/>
      <c r="C7" s="11"/>
      <c r="D7" s="12"/>
      <c r="E7" s="10"/>
      <c r="F7" s="11"/>
      <c r="G7" s="12"/>
      <c r="H7" s="10"/>
      <c r="I7" s="11"/>
      <c r="J7" s="12"/>
      <c r="K7" s="10"/>
      <c r="L7" s="11"/>
      <c r="M7" s="12"/>
      <c r="N7" s="10"/>
      <c r="O7" s="11"/>
      <c r="P7" s="12"/>
      <c r="S7" s="9"/>
      <c r="T7" s="9"/>
      <c r="U7" s="9"/>
      <c r="V7" s="9"/>
    </row>
    <row r="8">
      <c r="A8" s="9" t="s">
        <v>15</v>
      </c>
      <c r="B8" s="10"/>
      <c r="C8" s="11"/>
      <c r="D8" s="12"/>
      <c r="E8" s="10"/>
      <c r="F8" s="11"/>
      <c r="G8" s="12"/>
      <c r="H8" s="10"/>
      <c r="I8" s="11"/>
      <c r="J8" s="12"/>
      <c r="K8" s="10"/>
      <c r="L8" s="11"/>
      <c r="M8" s="12"/>
      <c r="N8" s="10"/>
      <c r="O8" s="11"/>
      <c r="P8" s="12"/>
      <c r="S8" s="9"/>
      <c r="T8" s="9"/>
      <c r="U8" s="9"/>
      <c r="V8" s="9"/>
    </row>
    <row r="9">
      <c r="A9" s="9" t="s">
        <v>16</v>
      </c>
      <c r="B9" s="10"/>
      <c r="C9" s="11"/>
      <c r="D9" s="12"/>
      <c r="E9" s="10"/>
      <c r="F9" s="11"/>
      <c r="G9" s="12"/>
      <c r="H9" s="10"/>
      <c r="I9" s="11"/>
      <c r="J9" s="12"/>
      <c r="K9" s="10"/>
      <c r="L9" s="11"/>
      <c r="M9" s="12"/>
      <c r="N9" s="10"/>
      <c r="O9" s="11"/>
      <c r="P9" s="12"/>
      <c r="S9" s="9"/>
      <c r="T9" s="9"/>
      <c r="U9" s="9"/>
      <c r="V9" s="9"/>
    </row>
    <row r="10">
      <c r="A10" s="9" t="s">
        <v>17</v>
      </c>
      <c r="B10" s="10"/>
      <c r="C10" s="11"/>
      <c r="D10" s="12"/>
      <c r="E10" s="10"/>
      <c r="F10" s="11"/>
      <c r="G10" s="12"/>
      <c r="H10" s="10"/>
      <c r="I10" s="11"/>
      <c r="J10" s="12"/>
      <c r="K10" s="10"/>
      <c r="L10" s="11"/>
      <c r="M10" s="12"/>
      <c r="N10" s="10"/>
      <c r="O10" s="11"/>
      <c r="P10" s="12"/>
      <c r="S10" s="9"/>
      <c r="T10" s="9"/>
      <c r="U10" s="9"/>
      <c r="V10" s="9"/>
    </row>
    <row r="11">
      <c r="A11" s="9" t="s">
        <v>18</v>
      </c>
      <c r="B11" s="10"/>
      <c r="C11" s="11"/>
      <c r="D11" s="12"/>
      <c r="E11" s="10"/>
      <c r="F11" s="11"/>
      <c r="G11" s="12"/>
      <c r="H11" s="10"/>
      <c r="I11" s="11"/>
      <c r="J11" s="12"/>
      <c r="K11" s="10"/>
      <c r="L11" s="11"/>
      <c r="M11" s="12"/>
      <c r="N11" s="10"/>
      <c r="O11" s="11"/>
      <c r="P11" s="12"/>
      <c r="S11" s="9"/>
      <c r="T11" s="9"/>
      <c r="U11" s="9"/>
      <c r="V11" s="9"/>
    </row>
    <row r="12">
      <c r="A12" s="9" t="s">
        <v>19</v>
      </c>
      <c r="B12" s="10"/>
      <c r="C12" s="11"/>
      <c r="D12" s="12"/>
      <c r="E12" s="10"/>
      <c r="F12" s="11"/>
      <c r="G12" s="12"/>
      <c r="H12" s="10"/>
      <c r="I12" s="11"/>
      <c r="J12" s="12"/>
      <c r="K12" s="10"/>
      <c r="L12" s="11"/>
      <c r="M12" s="12"/>
      <c r="N12" s="10"/>
      <c r="O12" s="11"/>
      <c r="P12" s="12"/>
      <c r="S12" s="9"/>
      <c r="T12" s="9"/>
      <c r="U12" s="9"/>
      <c r="V12" s="9"/>
    </row>
    <row r="13">
      <c r="A13" s="5" t="s">
        <v>20</v>
      </c>
      <c r="B13" s="6">
        <f>SUM(B14:B21)</f>
      </c>
      <c r="C13" s="7">
        <f>SUM(C14:C21)</f>
      </c>
      <c r="D13" s="8">
        <f>IF(B13&gt;0,C13/B13,"")</f>
      </c>
      <c r="E13" s="6">
        <f>SUM(E14:E21)</f>
      </c>
      <c r="F13" s="7">
        <f>SUM(F14:F21)</f>
      </c>
      <c r="G13" s="8">
        <f>IF(E13&gt;0,F13/E13,"")</f>
      </c>
      <c r="H13" s="6">
        <f>SUM(H14:H21)</f>
      </c>
      <c r="I13" s="7">
        <f>SUM(I14:I21)</f>
      </c>
      <c r="J13" s="8">
        <f>IF(H13&gt;0,I13/H13,"")</f>
      </c>
      <c r="K13" s="6">
        <f>SUM(K14:K21)</f>
      </c>
      <c r="L13" s="7">
        <f>SUM(L14:L21)</f>
      </c>
      <c r="M13" s="8">
        <f>IF(K13&gt;0,L13/K13,"")</f>
      </c>
      <c r="N13" s="6">
        <f>SUM(N14:N21)</f>
      </c>
      <c r="O13" s="7">
        <f>SUM(O14:O21)</f>
      </c>
      <c r="P13" s="8">
        <f>IF(N13&gt;0,O13/N13,"")</f>
      </c>
      <c r="S13" s="14">
        <f>IF(B13&gt;0,C13/B13,"")</f>
      </c>
      <c r="T13" s="14">
        <f>IF(E13&gt;0,F13/E13,"")</f>
      </c>
      <c r="U13" s="14">
        <f>IF((H13+K13)&gt;0,(I13+L13)/(H13+K13),"")</f>
      </c>
      <c r="V13" s="14">
        <f>IF(N13&gt;0,O13/N13,"")</f>
      </c>
    </row>
    <row r="14">
      <c r="A14" s="9" t="s">
        <v>12</v>
      </c>
      <c r="B14" s="10">
        <v>146.66</v>
      </c>
      <c r="C14" s="11">
        <v>14608.57</v>
      </c>
      <c r="D14" s="12">
        <f>IF(B14&gt;0,C14/B14,"")</f>
      </c>
      <c r="E14" s="10">
        <v>502.01</v>
      </c>
      <c r="F14" s="11">
        <v>41958.52</v>
      </c>
      <c r="G14" s="12">
        <f>IF(E14&gt;0,F14/E14,"")</f>
      </c>
      <c r="H14" s="10">
        <v>320.43</v>
      </c>
      <c r="I14" s="11">
        <v>25951.47</v>
      </c>
      <c r="J14" s="12">
        <f>IF(H14&gt;0,I14/H14,"")</f>
      </c>
      <c r="K14" s="10">
        <v>48.57</v>
      </c>
      <c r="L14" s="11">
        <v>3431.96</v>
      </c>
      <c r="M14" s="12">
        <f>IF(K14&gt;0,L14/K14,"")</f>
      </c>
      <c r="N14" s="10">
        <v>3.11</v>
      </c>
      <c r="O14" s="11">
        <v>208.44</v>
      </c>
      <c r="P14" s="12">
        <f>IF(N14&gt;0,O14/N14,"")</f>
      </c>
      <c r="S14" s="9"/>
      <c r="T14" s="9"/>
      <c r="U14" s="9"/>
      <c r="V14" s="9"/>
    </row>
    <row r="15">
      <c r="A15" s="9" t="s">
        <v>13</v>
      </c>
      <c r="B15" s="10">
        <v>25.4</v>
      </c>
      <c r="C15" s="11">
        <v>2515</v>
      </c>
      <c r="D15" s="12">
        <f>IF(B15&gt;0,C15/B15,"")</f>
      </c>
      <c r="E15" s="10">
        <v>681.94</v>
      </c>
      <c r="F15" s="11">
        <v>58103.31</v>
      </c>
      <c r="G15" s="12">
        <f>IF(E15&gt;0,F15/E15,"")</f>
      </c>
      <c r="H15" s="10">
        <v>401.44</v>
      </c>
      <c r="I15" s="11">
        <v>33360.85</v>
      </c>
      <c r="J15" s="12">
        <f>IF(H15&gt;0,I15/H15,"")</f>
      </c>
      <c r="K15" s="10">
        <v>45.63</v>
      </c>
      <c r="L15" s="11">
        <v>3456.79</v>
      </c>
      <c r="M15" s="12">
        <f>IF(K15&gt;0,L15/K15,"")</f>
      </c>
      <c r="N15" s="10">
        <v>4.11</v>
      </c>
      <c r="O15" s="11">
        <v>276.49</v>
      </c>
      <c r="P15" s="12">
        <f>IF(N15&gt;0,O15/N15,"")</f>
      </c>
      <c r="S15" s="9"/>
      <c r="T15" s="9"/>
      <c r="U15" s="9"/>
      <c r="V15" s="9"/>
    </row>
    <row r="16">
      <c r="A16" s="9" t="s">
        <v>14</v>
      </c>
      <c r="B16" s="10">
        <v>18.86</v>
      </c>
      <c r="C16" s="11">
        <v>1780.15</v>
      </c>
      <c r="D16" s="12">
        <f>IF(B16&gt;0,C16/B16,"")</f>
      </c>
      <c r="E16" s="10">
        <v>352.74</v>
      </c>
      <c r="F16" s="11">
        <v>28499.94</v>
      </c>
      <c r="G16" s="12">
        <f>IF(E16&gt;0,F16/E16,"")</f>
      </c>
      <c r="H16" s="10">
        <v>202.68</v>
      </c>
      <c r="I16" s="11">
        <v>16542.61</v>
      </c>
      <c r="J16" s="12">
        <f>IF(H16&gt;0,I16/H16,"")</f>
      </c>
      <c r="K16" s="10">
        <v>28</v>
      </c>
      <c r="L16" s="11">
        <v>2239.64</v>
      </c>
      <c r="M16" s="12">
        <f>IF(K16&gt;0,L16/K16,"")</f>
      </c>
      <c r="N16" s="10">
        <v>4.14</v>
      </c>
      <c r="O16" s="11">
        <v>273.24</v>
      </c>
      <c r="P16" s="12">
        <f>IF(N16&gt;0,O16/N16,"")</f>
      </c>
      <c r="S16" s="9"/>
      <c r="T16" s="9"/>
      <c r="U16" s="9"/>
      <c r="V16" s="9"/>
    </row>
    <row r="17">
      <c r="A17" s="9" t="s">
        <v>15</v>
      </c>
      <c r="B17" s="10">
        <v>7.09</v>
      </c>
      <c r="C17" s="11">
        <v>602.12</v>
      </c>
      <c r="D17" s="12">
        <f>IF(B17&gt;0,C17/B17,"")</f>
      </c>
      <c r="E17" s="10">
        <v>135.05</v>
      </c>
      <c r="F17" s="11">
        <v>9728.57</v>
      </c>
      <c r="G17" s="12">
        <f>IF(E17&gt;0,F17/E17,"")</f>
      </c>
      <c r="H17" s="10">
        <v>71.06</v>
      </c>
      <c r="I17" s="11">
        <v>5134.25</v>
      </c>
      <c r="J17" s="12">
        <f>IF(H17&gt;0,I17/H17,"")</f>
      </c>
      <c r="K17" s="10">
        <v>5.32</v>
      </c>
      <c r="L17" s="11">
        <v>430.54</v>
      </c>
      <c r="M17" s="12">
        <f>IF(K17&gt;0,L17/K17,"")</f>
      </c>
      <c r="N17" s="10">
        <v>2.06</v>
      </c>
      <c r="O17" s="11">
        <v>122.58</v>
      </c>
      <c r="P17" s="12">
        <f>IF(N17&gt;0,O17/N17,"")</f>
      </c>
      <c r="S17" s="9"/>
      <c r="T17" s="9"/>
      <c r="U17" s="9"/>
      <c r="V17" s="9"/>
    </row>
    <row r="18">
      <c r="A18" s="9" t="s">
        <v>16</v>
      </c>
      <c r="B18" s="10">
        <v>1.06</v>
      </c>
      <c r="C18" s="11">
        <v>81.62</v>
      </c>
      <c r="D18" s="12">
        <f>IF(B18&gt;0,C18/B18,"")</f>
      </c>
      <c r="E18" s="10">
        <v>12.61</v>
      </c>
      <c r="F18" s="11">
        <v>886.22</v>
      </c>
      <c r="G18" s="12">
        <f>IF(E18&gt;0,F18/E18,"")</f>
      </c>
      <c r="H18" s="10">
        <v>2.13</v>
      </c>
      <c r="I18" s="11">
        <v>138.45</v>
      </c>
      <c r="J18" s="12">
        <f>IF(H18&gt;0,I18/H18,"")</f>
      </c>
      <c r="K18" s="10"/>
      <c r="L18" s="11"/>
      <c r="M18" s="12"/>
      <c r="N18" s="10">
        <v>1.1</v>
      </c>
      <c r="O18" s="11">
        <v>63.95</v>
      </c>
      <c r="P18" s="12">
        <f>IF(N18&gt;0,O18/N18,"")</f>
      </c>
      <c r="S18" s="9"/>
      <c r="T18" s="9"/>
      <c r="U18" s="9"/>
      <c r="V18" s="9"/>
    </row>
    <row r="19">
      <c r="A19" s="9" t="s">
        <v>17</v>
      </c>
      <c r="B19" s="10"/>
      <c r="C19" s="11"/>
      <c r="D19" s="12"/>
      <c r="E19" s="10">
        <v>2.04</v>
      </c>
      <c r="F19" s="11">
        <v>128.22</v>
      </c>
      <c r="G19" s="12">
        <f>IF(E19&gt;0,F19/E19,"")</f>
      </c>
      <c r="H19" s="10">
        <v>2.08</v>
      </c>
      <c r="I19" s="11">
        <v>138.52</v>
      </c>
      <c r="J19" s="12">
        <f>IF(H19&gt;0,I19/H19,"")</f>
      </c>
      <c r="K19" s="10">
        <v>2.04</v>
      </c>
      <c r="L19" s="11">
        <v>127.45</v>
      </c>
      <c r="M19" s="12">
        <f>IF(K19&gt;0,L19/K19,"")</f>
      </c>
      <c r="N19" s="10"/>
      <c r="O19" s="11"/>
      <c r="P19" s="12"/>
      <c r="S19" s="9"/>
      <c r="T19" s="9"/>
      <c r="U19" s="9"/>
      <c r="V19" s="9"/>
    </row>
    <row r="20">
      <c r="A20" s="9" t="s">
        <v>18</v>
      </c>
      <c r="B20" s="10">
        <v>1</v>
      </c>
      <c r="C20" s="11">
        <v>71</v>
      </c>
      <c r="D20" s="12">
        <f>IF(B20&gt;0,C20/B20,"")</f>
      </c>
      <c r="E20" s="10"/>
      <c r="F20" s="11"/>
      <c r="G20" s="12"/>
      <c r="H20" s="10"/>
      <c r="I20" s="11"/>
      <c r="J20" s="12"/>
      <c r="K20" s="10"/>
      <c r="L20" s="11"/>
      <c r="M20" s="12"/>
      <c r="N20" s="10"/>
      <c r="O20" s="11"/>
      <c r="P20" s="12"/>
      <c r="S20" s="9"/>
      <c r="T20" s="9"/>
      <c r="U20" s="9"/>
      <c r="V20" s="9"/>
    </row>
    <row r="21">
      <c r="A21" s="9" t="s">
        <v>19</v>
      </c>
      <c r="B21" s="10"/>
      <c r="C21" s="11"/>
      <c r="D21" s="12"/>
      <c r="E21" s="10">
        <v>1.03</v>
      </c>
      <c r="F21" s="11">
        <v>66.95</v>
      </c>
      <c r="G21" s="12">
        <f>IF(E21&gt;0,F21/E21,"")</f>
      </c>
      <c r="H21" s="10"/>
      <c r="I21" s="11"/>
      <c r="J21" s="12"/>
      <c r="K21" s="10"/>
      <c r="L21" s="11"/>
      <c r="M21" s="12"/>
      <c r="N21" s="10"/>
      <c r="O21" s="11"/>
      <c r="P21" s="12"/>
      <c r="S21" s="9"/>
      <c r="T21" s="9"/>
      <c r="U21" s="9"/>
      <c r="V21" s="9"/>
    </row>
    <row r="22">
      <c r="A22" s="5" t="s">
        <v>21</v>
      </c>
      <c r="B22" s="6">
        <f>SUM(B23:B30)</f>
      </c>
      <c r="C22" s="7">
        <f>SUM(C23:C30)</f>
      </c>
      <c r="D22" s="8">
        <f>IF(B22&gt;0,C22/B22,"")</f>
      </c>
      <c r="E22" s="6">
        <f>SUM(E23:E30)</f>
      </c>
      <c r="F22" s="7">
        <f>SUM(F23:F30)</f>
      </c>
      <c r="G22" s="8">
        <f>IF(E22&gt;0,F22/E22,"")</f>
      </c>
      <c r="H22" s="6">
        <f>SUM(H23:H30)</f>
      </c>
      <c r="I22" s="7">
        <f>SUM(I23:I30)</f>
      </c>
      <c r="J22" s="8">
        <f>IF(H22&gt;0,I22/H22,"")</f>
      </c>
      <c r="K22" s="6">
        <f>SUM(K23:K30)</f>
      </c>
      <c r="L22" s="7">
        <f>SUM(L23:L30)</f>
      </c>
      <c r="M22" s="8">
        <f>IF(K22&gt;0,L22/K22,"")</f>
      </c>
      <c r="N22" s="6">
        <f>SUM(N23:N30)</f>
      </c>
      <c r="O22" s="7">
        <f>SUM(O23:O30)</f>
      </c>
      <c r="P22" s="8">
        <f>IF(N22&gt;0,O22/N22,"")</f>
      </c>
      <c r="S22" s="14">
        <f>IF(B22&gt;0,C22/B22,"")</f>
      </c>
      <c r="T22" s="14">
        <f>IF(E22&gt;0,F22/E22,"")</f>
      </c>
      <c r="U22" s="14">
        <f>IF((H22+K22)&gt;0,(I22+L22)/(H22+K22),"")</f>
      </c>
      <c r="V22" s="14">
        <f>IF(N22&gt;0,O22/N22,"")</f>
      </c>
    </row>
    <row r="23">
      <c r="A23" s="9" t="s">
        <v>12</v>
      </c>
      <c r="B23" s="10"/>
      <c r="C23" s="11"/>
      <c r="D23" s="12"/>
      <c r="E23" s="10">
        <v>4.66</v>
      </c>
      <c r="F23" s="11">
        <v>421.86</v>
      </c>
      <c r="G23" s="12">
        <f>IF(E23&gt;0,F23/E23,"")</f>
      </c>
      <c r="H23" s="10">
        <v>6.76</v>
      </c>
      <c r="I23" s="11">
        <v>595.35</v>
      </c>
      <c r="J23" s="12">
        <f>IF(H23&gt;0,I23/H23,"")</f>
      </c>
      <c r="K23" s="10"/>
      <c r="L23" s="11"/>
      <c r="M23" s="12"/>
      <c r="N23" s="10"/>
      <c r="O23" s="11"/>
      <c r="P23" s="12"/>
      <c r="S23" s="9"/>
      <c r="T23" s="9"/>
      <c r="U23" s="9"/>
      <c r="V23" s="9"/>
    </row>
    <row r="24">
      <c r="A24" s="9" t="s">
        <v>13</v>
      </c>
      <c r="B24" s="10">
        <v>1.16</v>
      </c>
      <c r="C24" s="11">
        <v>127.6</v>
      </c>
      <c r="D24" s="12">
        <f>IF(B24&gt;0,C24/B24,"")</f>
      </c>
      <c r="E24" s="10">
        <v>5.83</v>
      </c>
      <c r="F24" s="11">
        <v>570.05</v>
      </c>
      <c r="G24" s="12">
        <f>IF(E24&gt;0,F24/E24,"")</f>
      </c>
      <c r="H24" s="10">
        <v>12.7</v>
      </c>
      <c r="I24" s="11">
        <v>1243.48</v>
      </c>
      <c r="J24" s="12">
        <f>IF(H24&gt;0,I24/H24,"")</f>
      </c>
      <c r="K24" s="10"/>
      <c r="L24" s="11"/>
      <c r="M24" s="12"/>
      <c r="N24" s="10"/>
      <c r="O24" s="11"/>
      <c r="P24" s="12"/>
      <c r="S24" s="9"/>
      <c r="T24" s="9"/>
      <c r="U24" s="9"/>
      <c r="V24" s="9"/>
    </row>
    <row r="25">
      <c r="A25" s="9" t="s">
        <v>14</v>
      </c>
      <c r="B25" s="10"/>
      <c r="C25" s="11"/>
      <c r="D25" s="12"/>
      <c r="E25" s="10">
        <v>4.48</v>
      </c>
      <c r="F25" s="11">
        <v>374.3</v>
      </c>
      <c r="G25" s="12">
        <f>IF(E25&gt;0,F25/E25,"")</f>
      </c>
      <c r="H25" s="10">
        <v>4.53</v>
      </c>
      <c r="I25" s="11">
        <v>432.62</v>
      </c>
      <c r="J25" s="12">
        <f>IF(H25&gt;0,I25/H25,"")</f>
      </c>
      <c r="K25" s="10"/>
      <c r="L25" s="11"/>
      <c r="M25" s="12"/>
      <c r="N25" s="10"/>
      <c r="O25" s="11"/>
      <c r="P25" s="12"/>
      <c r="S25" s="9"/>
      <c r="T25" s="9"/>
      <c r="U25" s="9"/>
      <c r="V25" s="9"/>
    </row>
    <row r="26">
      <c r="A26" s="9" t="s">
        <v>15</v>
      </c>
      <c r="B26" s="10"/>
      <c r="C26" s="11"/>
      <c r="D26" s="12"/>
      <c r="E26" s="10">
        <v>6.68</v>
      </c>
      <c r="F26" s="11">
        <v>482.19</v>
      </c>
      <c r="G26" s="12">
        <f>IF(E26&gt;0,F26/E26,"")</f>
      </c>
      <c r="H26" s="10"/>
      <c r="I26" s="11"/>
      <c r="J26" s="12"/>
      <c r="K26" s="10">
        <v>1.11</v>
      </c>
      <c r="L26" s="11">
        <v>78.81</v>
      </c>
      <c r="M26" s="12">
        <f>IF(K26&gt;0,L26/K26,"")</f>
      </c>
      <c r="N26" s="10"/>
      <c r="O26" s="11"/>
      <c r="P26" s="12"/>
      <c r="S26" s="9"/>
      <c r="T26" s="9"/>
      <c r="U26" s="9"/>
      <c r="V26" s="9"/>
    </row>
    <row r="27">
      <c r="A27" s="9" t="s">
        <v>16</v>
      </c>
      <c r="B27" s="10"/>
      <c r="C27" s="11"/>
      <c r="D27" s="12"/>
      <c r="E27" s="10"/>
      <c r="F27" s="11"/>
      <c r="G27" s="12"/>
      <c r="H27" s="10"/>
      <c r="I27" s="11"/>
      <c r="J27" s="12"/>
      <c r="K27" s="10"/>
      <c r="L27" s="11"/>
      <c r="M27" s="12"/>
      <c r="N27" s="10"/>
      <c r="O27" s="11"/>
      <c r="P27" s="12"/>
      <c r="S27" s="9"/>
      <c r="T27" s="9"/>
      <c r="U27" s="9"/>
      <c r="V27" s="9"/>
    </row>
    <row r="28">
      <c r="A28" s="9" t="s">
        <v>17</v>
      </c>
      <c r="B28" s="10"/>
      <c r="C28" s="11"/>
      <c r="D28" s="12"/>
      <c r="E28" s="10"/>
      <c r="F28" s="11"/>
      <c r="G28" s="12"/>
      <c r="H28" s="10"/>
      <c r="I28" s="11"/>
      <c r="J28" s="12"/>
      <c r="K28" s="10"/>
      <c r="L28" s="11"/>
      <c r="M28" s="12"/>
      <c r="N28" s="10"/>
      <c r="O28" s="11"/>
      <c r="P28" s="12"/>
      <c r="S28" s="9"/>
      <c r="T28" s="9"/>
      <c r="U28" s="9"/>
      <c r="V28" s="9"/>
    </row>
    <row r="29">
      <c r="A29" s="9" t="s">
        <v>18</v>
      </c>
      <c r="B29" s="10"/>
      <c r="C29" s="11"/>
      <c r="D29" s="12"/>
      <c r="E29" s="10"/>
      <c r="F29" s="11"/>
      <c r="G29" s="12"/>
      <c r="H29" s="10"/>
      <c r="I29" s="11"/>
      <c r="J29" s="12"/>
      <c r="K29" s="10"/>
      <c r="L29" s="11"/>
      <c r="M29" s="12"/>
      <c r="N29" s="10"/>
      <c r="O29" s="11"/>
      <c r="P29" s="12"/>
      <c r="S29" s="9"/>
      <c r="T29" s="9"/>
      <c r="U29" s="9"/>
      <c r="V29" s="9"/>
    </row>
    <row r="30">
      <c r="A30" s="9" t="s">
        <v>19</v>
      </c>
      <c r="B30" s="10"/>
      <c r="C30" s="11"/>
      <c r="D30" s="12"/>
      <c r="E30" s="10"/>
      <c r="F30" s="11"/>
      <c r="G30" s="12"/>
      <c r="H30" s="10"/>
      <c r="I30" s="11"/>
      <c r="J30" s="12"/>
      <c r="K30" s="10"/>
      <c r="L30" s="11"/>
      <c r="M30" s="12"/>
      <c r="N30" s="10"/>
      <c r="O30" s="11"/>
      <c r="P30" s="12"/>
      <c r="S30" s="9"/>
      <c r="T30" s="9"/>
      <c r="U30" s="9"/>
      <c r="V30" s="9"/>
    </row>
    <row r="31">
      <c r="A31" s="5" t="s">
        <v>22</v>
      </c>
      <c r="B31" s="6">
        <f>SUM(B32:B39)</f>
      </c>
      <c r="C31" s="7">
        <f>SUM(C32:C39)</f>
      </c>
      <c r="D31" s="8">
        <f>IF(B31&gt;0,C31/B31,"")</f>
      </c>
      <c r="E31" s="6">
        <f>SUM(E32:E39)</f>
      </c>
      <c r="F31" s="7">
        <f>SUM(F32:F39)</f>
      </c>
      <c r="G31" s="8">
        <f>IF(E31&gt;0,F31/E31,"")</f>
      </c>
      <c r="H31" s="6">
        <f>SUM(H32:H39)</f>
      </c>
      <c r="I31" s="7">
        <f>SUM(I32:I39)</f>
      </c>
      <c r="J31" s="8">
        <f>IF(H31&gt;0,I31/H31,"")</f>
      </c>
      <c r="K31" s="6">
        <f>SUM(K32:K39)</f>
      </c>
      <c r="L31" s="7">
        <f>SUM(L32:L39)</f>
      </c>
      <c r="M31" s="8">
        <f>IF(K31&gt;0,L31/K31,"")</f>
      </c>
      <c r="N31" s="6">
        <f>SUM(N32:N39)</f>
      </c>
      <c r="O31" s="7">
        <f>SUM(O32:O39)</f>
      </c>
      <c r="P31" s="8">
        <f>IF(N31&gt;0,O31/N31,"")</f>
      </c>
      <c r="S31" s="14">
        <f>IF(B31&gt;0,C31/B31,"")</f>
      </c>
      <c r="T31" s="14">
        <f>IF(E31&gt;0,F31/E31,"")</f>
      </c>
      <c r="U31" s="14">
        <f>IF((H31+K31)&gt;0,(I31+L31)/(H31+K31),"")</f>
      </c>
      <c r="V31" s="14">
        <f>IF(N31&gt;0,O31/N31,"")</f>
      </c>
    </row>
    <row r="32">
      <c r="A32" s="9" t="s">
        <v>12</v>
      </c>
      <c r="B32" s="10">
        <v>10.01</v>
      </c>
      <c r="C32" s="11">
        <v>1070.1</v>
      </c>
      <c r="D32" s="12">
        <f>IF(B32&gt;0,C32/B32,"")</f>
      </c>
      <c r="E32" s="10">
        <v>109.17</v>
      </c>
      <c r="F32" s="11">
        <v>9193.86</v>
      </c>
      <c r="G32" s="12">
        <f>IF(E32&gt;0,F32/E32,"")</f>
      </c>
      <c r="H32" s="10">
        <v>46.01</v>
      </c>
      <c r="I32" s="11">
        <v>3837.1</v>
      </c>
      <c r="J32" s="12">
        <f>IF(H32&gt;0,I32/H32,"")</f>
      </c>
      <c r="K32" s="10">
        <v>8.8</v>
      </c>
      <c r="L32" s="11">
        <v>735.39</v>
      </c>
      <c r="M32" s="12">
        <f>IF(K32&gt;0,L32/K32,"")</f>
      </c>
      <c r="N32" s="10"/>
      <c r="O32" s="11"/>
      <c r="P32" s="12"/>
      <c r="S32" s="9"/>
      <c r="T32" s="9"/>
      <c r="U32" s="9"/>
      <c r="V32" s="9"/>
    </row>
    <row r="33">
      <c r="A33" s="9" t="s">
        <v>13</v>
      </c>
      <c r="B33" s="10">
        <v>18.8</v>
      </c>
      <c r="C33" s="11">
        <v>1831.12</v>
      </c>
      <c r="D33" s="12">
        <f>IF(B33&gt;0,C33/B33,"")</f>
      </c>
      <c r="E33" s="10">
        <v>134.17</v>
      </c>
      <c r="F33" s="11">
        <v>11088.14</v>
      </c>
      <c r="G33" s="12">
        <f>IF(E33&gt;0,F33/E33,"")</f>
      </c>
      <c r="H33" s="10">
        <v>115.71</v>
      </c>
      <c r="I33" s="11">
        <v>9277.03</v>
      </c>
      <c r="J33" s="12">
        <f>IF(H33&gt;0,I33/H33,"")</f>
      </c>
      <c r="K33" s="10">
        <v>9.9</v>
      </c>
      <c r="L33" s="11">
        <v>787.16</v>
      </c>
      <c r="M33" s="12">
        <f>IF(K33&gt;0,L33/K33,"")</f>
      </c>
      <c r="N33" s="10"/>
      <c r="O33" s="11"/>
      <c r="P33" s="12"/>
      <c r="S33" s="9"/>
      <c r="T33" s="9"/>
      <c r="U33" s="9"/>
      <c r="V33" s="9"/>
    </row>
    <row r="34">
      <c r="A34" s="9" t="s">
        <v>14</v>
      </c>
      <c r="B34" s="10">
        <v>7.59</v>
      </c>
      <c r="C34" s="11">
        <v>673.23</v>
      </c>
      <c r="D34" s="12">
        <f>IF(B34&gt;0,C34/B34,"")</f>
      </c>
      <c r="E34" s="10">
        <v>49.59</v>
      </c>
      <c r="F34" s="11">
        <v>3943.75</v>
      </c>
      <c r="G34" s="12">
        <f>IF(E34&gt;0,F34/E34,"")</f>
      </c>
      <c r="H34" s="10">
        <v>25.76</v>
      </c>
      <c r="I34" s="11">
        <v>2019.26</v>
      </c>
      <c r="J34" s="12">
        <f>IF(H34&gt;0,I34/H34,"")</f>
      </c>
      <c r="K34" s="10">
        <v>2.46</v>
      </c>
      <c r="L34" s="11">
        <v>166.07</v>
      </c>
      <c r="M34" s="12">
        <f>IF(K34&gt;0,L34/K34,"")</f>
      </c>
      <c r="N34" s="10"/>
      <c r="O34" s="11"/>
      <c r="P34" s="12"/>
      <c r="S34" s="9"/>
      <c r="T34" s="9"/>
      <c r="U34" s="9"/>
      <c r="V34" s="9"/>
    </row>
    <row r="35">
      <c r="A35" s="9" t="s">
        <v>15</v>
      </c>
      <c r="B35" s="10"/>
      <c r="C35" s="11"/>
      <c r="D35" s="12"/>
      <c r="E35" s="10">
        <v>35.83</v>
      </c>
      <c r="F35" s="11">
        <v>2522.02</v>
      </c>
      <c r="G35" s="12">
        <f>IF(E35&gt;0,F35/E35,"")</f>
      </c>
      <c r="H35" s="10">
        <v>13.54</v>
      </c>
      <c r="I35" s="11">
        <v>927.75</v>
      </c>
      <c r="J35" s="12">
        <f>IF(H35&gt;0,I35/H35,"")</f>
      </c>
      <c r="K35" s="10">
        <v>3.66</v>
      </c>
      <c r="L35" s="11">
        <v>244</v>
      </c>
      <c r="M35" s="12">
        <f>IF(K35&gt;0,L35/K35,"")</f>
      </c>
      <c r="N35" s="10">
        <v>2.52</v>
      </c>
      <c r="O35" s="11">
        <v>155.24</v>
      </c>
      <c r="P35" s="12">
        <f>IF(N35&gt;0,O35/N35,"")</f>
      </c>
      <c r="S35" s="9"/>
      <c r="T35" s="9"/>
      <c r="U35" s="9"/>
      <c r="V35" s="9"/>
    </row>
    <row r="36">
      <c r="A36" s="9" t="s">
        <v>16</v>
      </c>
      <c r="B36" s="10"/>
      <c r="C36" s="11"/>
      <c r="D36" s="12"/>
      <c r="E36" s="10">
        <v>5.01</v>
      </c>
      <c r="F36" s="11">
        <v>337.29</v>
      </c>
      <c r="G36" s="12">
        <f>IF(E36&gt;0,F36/E36,"")</f>
      </c>
      <c r="H36" s="10">
        <v>3.68</v>
      </c>
      <c r="I36" s="11">
        <v>250.24</v>
      </c>
      <c r="J36" s="12">
        <f>IF(H36&gt;0,I36/H36,"")</f>
      </c>
      <c r="K36" s="10">
        <v>1.21</v>
      </c>
      <c r="L36" s="11">
        <v>81.07</v>
      </c>
      <c r="M36" s="12">
        <f>IF(K36&gt;0,L36/K36,"")</f>
      </c>
      <c r="N36" s="10"/>
      <c r="O36" s="11"/>
      <c r="P36" s="12"/>
      <c r="S36" s="9"/>
      <c r="T36" s="9"/>
      <c r="U36" s="9"/>
      <c r="V36" s="9"/>
    </row>
    <row r="37">
      <c r="A37" s="9" t="s">
        <v>17</v>
      </c>
      <c r="B37" s="10"/>
      <c r="C37" s="11"/>
      <c r="D37" s="12"/>
      <c r="E37" s="10"/>
      <c r="F37" s="11"/>
      <c r="G37" s="12"/>
      <c r="H37" s="10">
        <v>1.27</v>
      </c>
      <c r="I37" s="11">
        <v>85.09</v>
      </c>
      <c r="J37" s="12">
        <f>IF(H37&gt;0,I37/H37,"")</f>
      </c>
      <c r="K37" s="10">
        <v>2.56</v>
      </c>
      <c r="L37" s="11">
        <v>166.52</v>
      </c>
      <c r="M37" s="12">
        <f>IF(K37&gt;0,L37/K37,"")</f>
      </c>
      <c r="N37" s="10"/>
      <c r="O37" s="11"/>
      <c r="P37" s="12"/>
      <c r="S37" s="9"/>
      <c r="T37" s="9"/>
      <c r="U37" s="9"/>
      <c r="V37" s="9"/>
    </row>
    <row r="38">
      <c r="A38" s="9" t="s">
        <v>18</v>
      </c>
      <c r="B38" s="10"/>
      <c r="C38" s="11"/>
      <c r="D38" s="12"/>
      <c r="E38" s="10"/>
      <c r="F38" s="11"/>
      <c r="G38" s="12"/>
      <c r="H38" s="10"/>
      <c r="I38" s="11"/>
      <c r="J38" s="12"/>
      <c r="K38" s="10"/>
      <c r="L38" s="11"/>
      <c r="M38" s="12"/>
      <c r="N38" s="10"/>
      <c r="O38" s="11"/>
      <c r="P38" s="12"/>
      <c r="S38" s="9"/>
      <c r="T38" s="9"/>
      <c r="U38" s="9"/>
      <c r="V38" s="9"/>
    </row>
    <row r="39">
      <c r="A39" s="9" t="s">
        <v>19</v>
      </c>
      <c r="B39" s="10"/>
      <c r="C39" s="11"/>
      <c r="D39" s="12"/>
      <c r="E39" s="10"/>
      <c r="F39" s="11"/>
      <c r="G39" s="12"/>
      <c r="H39" s="10"/>
      <c r="I39" s="11"/>
      <c r="J39" s="12"/>
      <c r="K39" s="10"/>
      <c r="L39" s="11"/>
      <c r="M39" s="12"/>
      <c r="N39" s="10"/>
      <c r="O39" s="11"/>
      <c r="P39" s="12"/>
      <c r="S39" s="9"/>
      <c r="T39" s="9"/>
      <c r="U39" s="9"/>
      <c r="V39" s="9"/>
    </row>
    <row r="40">
      <c r="A40" s="5" t="s">
        <v>23</v>
      </c>
      <c r="B40" s="6">
        <f>SUM(B41:B48)</f>
      </c>
      <c r="C40" s="7">
        <f>SUM(C41:C48)</f>
      </c>
      <c r="D40" s="8">
        <f>IF(B40&gt;0,C40/B40,"")</f>
      </c>
      <c r="E40" s="6">
        <f>SUM(E41:E48)</f>
      </c>
      <c r="F40" s="7">
        <f>SUM(F41:F48)</f>
      </c>
      <c r="G40" s="8">
        <f>IF(E40&gt;0,F40/E40,"")</f>
      </c>
      <c r="H40" s="6">
        <f>SUM(H41:H48)</f>
      </c>
      <c r="I40" s="7">
        <f>SUM(I41:I48)</f>
      </c>
      <c r="J40" s="8">
        <f>IF(H40&gt;0,I40/H40,"")</f>
      </c>
      <c r="K40" s="6">
        <f>SUM(K41:K48)</f>
      </c>
      <c r="L40" s="7">
        <f>SUM(L41:L48)</f>
      </c>
      <c r="M40" s="8">
        <f>IF(K40&gt;0,L40/K40,"")</f>
      </c>
      <c r="N40" s="6">
        <f>SUM(N41:N48)</f>
      </c>
      <c r="O40" s="7">
        <f>SUM(O41:O48)</f>
      </c>
      <c r="P40" s="8">
        <f>IF(N40&gt;0,O40/N40,"")</f>
      </c>
      <c r="S40" s="14">
        <f>IF(B40&gt;0,C40/B40,"")</f>
      </c>
      <c r="T40" s="14">
        <f>IF(E40&gt;0,F40/E40,"")</f>
      </c>
      <c r="U40" s="14">
        <f>IF((H40+K40)&gt;0,(I40+L40)/(H40+K40),"")</f>
      </c>
      <c r="V40" s="14">
        <f>IF(N40&gt;0,O40/N40,"")</f>
      </c>
    </row>
    <row r="41">
      <c r="A41" s="9" t="s">
        <v>12</v>
      </c>
      <c r="B41" s="10"/>
      <c r="C41" s="11"/>
      <c r="D41" s="12"/>
      <c r="E41" s="10"/>
      <c r="F41" s="11"/>
      <c r="G41" s="12"/>
      <c r="H41" s="10">
        <v>7.26</v>
      </c>
      <c r="I41" s="11">
        <v>714.36</v>
      </c>
      <c r="J41" s="12">
        <f>IF(H41&gt;0,I41/H41,"")</f>
      </c>
      <c r="K41" s="10">
        <v>1.4</v>
      </c>
      <c r="L41" s="11">
        <v>161</v>
      </c>
      <c r="M41" s="12">
        <f>IF(K41&gt;0,L41/K41,"")</f>
      </c>
      <c r="N41" s="10"/>
      <c r="O41" s="11"/>
      <c r="P41" s="12"/>
      <c r="S41" s="9"/>
      <c r="T41" s="9"/>
      <c r="U41" s="9"/>
      <c r="V41" s="9"/>
    </row>
    <row r="42">
      <c r="A42" s="9" t="s">
        <v>13</v>
      </c>
      <c r="B42" s="10"/>
      <c r="C42" s="11"/>
      <c r="D42" s="12"/>
      <c r="E42" s="10">
        <v>9.69</v>
      </c>
      <c r="F42" s="11">
        <v>857.36</v>
      </c>
      <c r="G42" s="12">
        <f>IF(E42&gt;0,F42/E42,"")</f>
      </c>
      <c r="H42" s="10">
        <v>4.26</v>
      </c>
      <c r="I42" s="11">
        <v>366.26</v>
      </c>
      <c r="J42" s="12">
        <f>IF(H42&gt;0,I42/H42,"")</f>
      </c>
      <c r="K42" s="10">
        <v>1.31</v>
      </c>
      <c r="L42" s="11">
        <v>96.94</v>
      </c>
      <c r="M42" s="12">
        <f>IF(K42&gt;0,L42/K42,"")</f>
      </c>
      <c r="N42" s="10"/>
      <c r="O42" s="11"/>
      <c r="P42" s="12"/>
      <c r="S42" s="9"/>
      <c r="T42" s="9"/>
      <c r="U42" s="9"/>
      <c r="V42" s="9"/>
    </row>
    <row r="43">
      <c r="A43" s="9" t="s">
        <v>14</v>
      </c>
      <c r="B43" s="10"/>
      <c r="C43" s="11"/>
      <c r="D43" s="12"/>
      <c r="E43" s="10">
        <v>6.56</v>
      </c>
      <c r="F43" s="11">
        <v>502.44</v>
      </c>
      <c r="G43" s="12">
        <f>IF(E43&gt;0,F43/E43,"")</f>
      </c>
      <c r="H43" s="10">
        <v>3.93</v>
      </c>
      <c r="I43" s="11">
        <v>379.9</v>
      </c>
      <c r="J43" s="12">
        <f>IF(H43&gt;0,I43/H43,"")</f>
      </c>
      <c r="K43" s="10"/>
      <c r="L43" s="11"/>
      <c r="M43" s="12"/>
      <c r="N43" s="10"/>
      <c r="O43" s="11"/>
      <c r="P43" s="12"/>
      <c r="S43" s="9"/>
      <c r="T43" s="9"/>
      <c r="U43" s="9"/>
      <c r="V43" s="9"/>
    </row>
    <row r="44">
      <c r="A44" s="9" t="s">
        <v>15</v>
      </c>
      <c r="B44" s="10"/>
      <c r="C44" s="11"/>
      <c r="D44" s="12"/>
      <c r="E44" s="10">
        <v>2.81</v>
      </c>
      <c r="F44" s="11">
        <v>185.16</v>
      </c>
      <c r="G44" s="12">
        <f>IF(E44&gt;0,F44/E44,"")</f>
      </c>
      <c r="H44" s="10"/>
      <c r="I44" s="11"/>
      <c r="J44" s="12"/>
      <c r="K44" s="10"/>
      <c r="L44" s="11"/>
      <c r="M44" s="12"/>
      <c r="N44" s="10"/>
      <c r="O44" s="11"/>
      <c r="P44" s="12"/>
      <c r="S44" s="9"/>
      <c r="T44" s="9"/>
      <c r="U44" s="9"/>
      <c r="V44" s="9"/>
    </row>
    <row r="45">
      <c r="A45" s="9" t="s">
        <v>16</v>
      </c>
      <c r="B45" s="10"/>
      <c r="C45" s="11"/>
      <c r="D45" s="12"/>
      <c r="E45" s="10">
        <v>1.33</v>
      </c>
      <c r="F45" s="11">
        <v>90.44</v>
      </c>
      <c r="G45" s="12">
        <f>IF(E45&gt;0,F45/E45,"")</f>
      </c>
      <c r="H45" s="10"/>
      <c r="I45" s="11"/>
      <c r="J45" s="12"/>
      <c r="K45" s="10"/>
      <c r="L45" s="11"/>
      <c r="M45" s="12"/>
      <c r="N45" s="10"/>
      <c r="O45" s="11"/>
      <c r="P45" s="12"/>
      <c r="S45" s="9"/>
      <c r="T45" s="9"/>
      <c r="U45" s="9"/>
      <c r="V45" s="9"/>
    </row>
    <row r="46">
      <c r="A46" s="9" t="s">
        <v>17</v>
      </c>
      <c r="B46" s="10"/>
      <c r="C46" s="11"/>
      <c r="D46" s="12"/>
      <c r="E46" s="10"/>
      <c r="F46" s="11"/>
      <c r="G46" s="12"/>
      <c r="H46" s="10"/>
      <c r="I46" s="11"/>
      <c r="J46" s="12"/>
      <c r="K46" s="10"/>
      <c r="L46" s="11"/>
      <c r="M46" s="12"/>
      <c r="N46" s="10"/>
      <c r="O46" s="11"/>
      <c r="P46" s="12"/>
      <c r="S46" s="9"/>
      <c r="T46" s="9"/>
      <c r="U46" s="9"/>
      <c r="V46" s="9"/>
    </row>
    <row r="47">
      <c r="A47" s="9" t="s">
        <v>18</v>
      </c>
      <c r="B47" s="10"/>
      <c r="C47" s="11"/>
      <c r="D47" s="12"/>
      <c r="E47" s="10"/>
      <c r="F47" s="11"/>
      <c r="G47" s="12"/>
      <c r="H47" s="10"/>
      <c r="I47" s="11"/>
      <c r="J47" s="12"/>
      <c r="K47" s="10"/>
      <c r="L47" s="11"/>
      <c r="M47" s="12"/>
      <c r="N47" s="10"/>
      <c r="O47" s="11"/>
      <c r="P47" s="12"/>
      <c r="S47" s="9"/>
      <c r="T47" s="9"/>
      <c r="U47" s="9"/>
      <c r="V47" s="9"/>
    </row>
    <row r="48">
      <c r="A48" s="9" t="s">
        <v>19</v>
      </c>
      <c r="B48" s="10"/>
      <c r="C48" s="11"/>
      <c r="D48" s="12"/>
      <c r="E48" s="10"/>
      <c r="F48" s="11"/>
      <c r="G48" s="12"/>
      <c r="H48" s="10"/>
      <c r="I48" s="11"/>
      <c r="J48" s="12"/>
      <c r="K48" s="10"/>
      <c r="L48" s="11"/>
      <c r="M48" s="12"/>
      <c r="N48" s="10"/>
      <c r="O48" s="11"/>
      <c r="P48" s="12"/>
      <c r="S48" s="9"/>
      <c r="T48" s="9"/>
      <c r="U48" s="9"/>
      <c r="V48" s="9"/>
    </row>
    <row r="49">
      <c r="A49" s="5" t="s">
        <v>24</v>
      </c>
      <c r="B49" s="6">
        <f>SUM(B50:B57)</f>
      </c>
      <c r="C49" s="7">
        <f>SUM(C50:C57)</f>
      </c>
      <c r="D49" s="8">
        <f>IF(B49&gt;0,C49/B49,"")</f>
      </c>
      <c r="E49" s="6">
        <f>SUM(E50:E57)</f>
      </c>
      <c r="F49" s="7">
        <f>SUM(F50:F57)</f>
      </c>
      <c r="G49" s="8">
        <f>IF(E49&gt;0,F49/E49,"")</f>
      </c>
      <c r="H49" s="6">
        <f>SUM(H50:H57)</f>
      </c>
      <c r="I49" s="7">
        <f>SUM(I50:I57)</f>
      </c>
      <c r="J49" s="8">
        <f>IF(H49&gt;0,I49/H49,"")</f>
      </c>
      <c r="K49" s="6">
        <f>SUM(K50:K57)</f>
      </c>
      <c r="L49" s="7">
        <f>SUM(L50:L57)</f>
      </c>
      <c r="M49" s="8">
        <f>IF(K49&gt;0,L49/K49,"")</f>
      </c>
      <c r="N49" s="6">
        <f>SUM(N50:N57)</f>
      </c>
      <c r="O49" s="7">
        <f>SUM(O50:O57)</f>
      </c>
      <c r="P49" s="8">
        <f>IF(N49&gt;0,O49/N49,"")</f>
      </c>
      <c r="S49" s="14">
        <f>IF(B49&gt;0,C49/B49,"")</f>
      </c>
      <c r="T49" s="14">
        <f>IF(E49&gt;0,F49/E49,"")</f>
      </c>
      <c r="U49" s="14">
        <f>IF((H49+K49)&gt;0,(I49+L49)/(H49+K49),"")</f>
      </c>
      <c r="V49" s="14">
        <f>IF(N49&gt;0,O49/N49,"")</f>
      </c>
    </row>
    <row r="50">
      <c r="A50" s="9" t="s">
        <v>12</v>
      </c>
      <c r="B50" s="10">
        <v>27.24</v>
      </c>
      <c r="C50" s="11">
        <v>3101.02</v>
      </c>
      <c r="D50" s="12">
        <f>IF(B50&gt;0,C50/B50,"")</f>
      </c>
      <c r="E50" s="10">
        <v>214.93</v>
      </c>
      <c r="F50" s="11">
        <v>18169.22</v>
      </c>
      <c r="G50" s="12">
        <f>IF(E50&gt;0,F50/E50,"")</f>
      </c>
      <c r="H50" s="10">
        <v>188.83</v>
      </c>
      <c r="I50" s="11">
        <v>14754.54</v>
      </c>
      <c r="J50" s="12">
        <f>IF(H50&gt;0,I50/H50,"")</f>
      </c>
      <c r="K50" s="10">
        <v>37.87</v>
      </c>
      <c r="L50" s="11">
        <v>2782.08</v>
      </c>
      <c r="M50" s="12">
        <f>IF(K50&gt;0,L50/K50,"")</f>
      </c>
      <c r="N50" s="10">
        <v>1.51</v>
      </c>
      <c r="O50" s="11">
        <v>123.82</v>
      </c>
      <c r="P50" s="12">
        <f>IF(N50&gt;0,O50/N50,"")</f>
      </c>
      <c r="S50" s="9"/>
      <c r="T50" s="9"/>
      <c r="U50" s="9"/>
      <c r="V50" s="9"/>
    </row>
    <row r="51">
      <c r="A51" s="9" t="s">
        <v>13</v>
      </c>
      <c r="B51" s="10">
        <v>21.47</v>
      </c>
      <c r="C51" s="11">
        <v>2288.96</v>
      </c>
      <c r="D51" s="12">
        <f>IF(B51&gt;0,C51/B51,"")</f>
      </c>
      <c r="E51" s="10">
        <v>364.08</v>
      </c>
      <c r="F51" s="11">
        <v>30281</v>
      </c>
      <c r="G51" s="12">
        <f>IF(E51&gt;0,F51/E51,"")</f>
      </c>
      <c r="H51" s="10">
        <v>189.28</v>
      </c>
      <c r="I51" s="11">
        <v>14805.97</v>
      </c>
      <c r="J51" s="12">
        <f>IF(H51&gt;0,I51/H51,"")</f>
      </c>
      <c r="K51" s="10">
        <v>29.12</v>
      </c>
      <c r="L51" s="11">
        <v>2260.54</v>
      </c>
      <c r="M51" s="12">
        <f>IF(K51&gt;0,L51/K51,"")</f>
      </c>
      <c r="N51" s="10">
        <v>1.51</v>
      </c>
      <c r="O51" s="11">
        <v>104.19</v>
      </c>
      <c r="P51" s="12">
        <f>IF(N51&gt;0,O51/N51,"")</f>
      </c>
      <c r="S51" s="9"/>
      <c r="T51" s="9"/>
      <c r="U51" s="9"/>
      <c r="V51" s="9"/>
    </row>
    <row r="52">
      <c r="A52" s="9" t="s">
        <v>14</v>
      </c>
      <c r="B52" s="10">
        <v>6.08</v>
      </c>
      <c r="C52" s="11">
        <v>594.48</v>
      </c>
      <c r="D52" s="12">
        <f>IF(B52&gt;0,C52/B52,"")</f>
      </c>
      <c r="E52" s="10">
        <v>263.31</v>
      </c>
      <c r="F52" s="11">
        <v>20930.83</v>
      </c>
      <c r="G52" s="12">
        <f>IF(E52&gt;0,F52/E52,"")</f>
      </c>
      <c r="H52" s="10">
        <v>159.88</v>
      </c>
      <c r="I52" s="11">
        <v>12159.02</v>
      </c>
      <c r="J52" s="12">
        <f>IF(H52&gt;0,I52/H52,"")</f>
      </c>
      <c r="K52" s="10">
        <v>40.93</v>
      </c>
      <c r="L52" s="11">
        <v>3118.83</v>
      </c>
      <c r="M52" s="12">
        <f>IF(K52&gt;0,L52/K52,"")</f>
      </c>
      <c r="N52" s="10"/>
      <c r="O52" s="11"/>
      <c r="P52" s="12"/>
      <c r="S52" s="9"/>
      <c r="T52" s="9"/>
      <c r="U52" s="9"/>
      <c r="V52" s="9"/>
    </row>
    <row r="53">
      <c r="A53" s="9" t="s">
        <v>15</v>
      </c>
      <c r="B53" s="10">
        <v>17.05</v>
      </c>
      <c r="C53" s="11">
        <v>1474</v>
      </c>
      <c r="D53" s="12">
        <f>IF(B53&gt;0,C53/B53,"")</f>
      </c>
      <c r="E53" s="10">
        <v>47.36</v>
      </c>
      <c r="F53" s="11">
        <v>3507.1</v>
      </c>
      <c r="G53" s="12">
        <f>IF(E53&gt;0,F53/E53,"")</f>
      </c>
      <c r="H53" s="10">
        <v>27.63</v>
      </c>
      <c r="I53" s="11">
        <v>2013.36</v>
      </c>
      <c r="J53" s="12">
        <f>IF(H53&gt;0,I53/H53,"")</f>
      </c>
      <c r="K53" s="10">
        <v>12.11</v>
      </c>
      <c r="L53" s="11">
        <v>880.98</v>
      </c>
      <c r="M53" s="12">
        <f>IF(K53&gt;0,L53/K53,"")</f>
      </c>
      <c r="N53" s="10"/>
      <c r="O53" s="11"/>
      <c r="P53" s="12"/>
      <c r="S53" s="9"/>
      <c r="T53" s="9"/>
      <c r="U53" s="9"/>
      <c r="V53" s="9"/>
    </row>
    <row r="54">
      <c r="A54" s="9" t="s">
        <v>16</v>
      </c>
      <c r="B54" s="10">
        <v>1.51</v>
      </c>
      <c r="C54" s="11">
        <v>130.54</v>
      </c>
      <c r="D54" s="12">
        <f>IF(B54&gt;0,C54/B54,"")</f>
      </c>
      <c r="E54" s="10">
        <v>13.97</v>
      </c>
      <c r="F54" s="11">
        <v>995.84</v>
      </c>
      <c r="G54" s="12">
        <f>IF(E54&gt;0,F54/E54,"")</f>
      </c>
      <c r="H54" s="10">
        <v>4.52</v>
      </c>
      <c r="I54" s="11">
        <v>311.92</v>
      </c>
      <c r="J54" s="12">
        <f>IF(H54&gt;0,I54/H54,"")</f>
      </c>
      <c r="K54" s="10"/>
      <c r="L54" s="11"/>
      <c r="M54" s="12"/>
      <c r="N54" s="10"/>
      <c r="O54" s="11"/>
      <c r="P54" s="12"/>
      <c r="S54" s="9"/>
      <c r="T54" s="9"/>
      <c r="U54" s="9"/>
      <c r="V54" s="9"/>
    </row>
    <row r="55">
      <c r="A55" s="9" t="s">
        <v>17</v>
      </c>
      <c r="B55" s="10"/>
      <c r="C55" s="11"/>
      <c r="D55" s="12"/>
      <c r="E55" s="10"/>
      <c r="F55" s="11"/>
      <c r="G55" s="12"/>
      <c r="H55" s="10"/>
      <c r="I55" s="11"/>
      <c r="J55" s="12"/>
      <c r="K55" s="10"/>
      <c r="L55" s="11"/>
      <c r="M55" s="12"/>
      <c r="N55" s="10"/>
      <c r="O55" s="11"/>
      <c r="P55" s="12"/>
      <c r="S55" s="9"/>
      <c r="T55" s="9"/>
      <c r="U55" s="9"/>
      <c r="V55" s="9"/>
    </row>
    <row r="56">
      <c r="A56" s="9" t="s">
        <v>18</v>
      </c>
      <c r="B56" s="10"/>
      <c r="C56" s="11"/>
      <c r="D56" s="12"/>
      <c r="E56" s="10">
        <v>1.54</v>
      </c>
      <c r="F56" s="11">
        <v>104.72</v>
      </c>
      <c r="G56" s="12">
        <f>IF(E56&gt;0,F56/E56,"")</f>
      </c>
      <c r="H56" s="10"/>
      <c r="I56" s="11"/>
      <c r="J56" s="12"/>
      <c r="K56" s="10"/>
      <c r="L56" s="11"/>
      <c r="M56" s="12"/>
      <c r="N56" s="10"/>
      <c r="O56" s="11"/>
      <c r="P56" s="12"/>
      <c r="S56" s="9"/>
      <c r="T56" s="9"/>
      <c r="U56" s="9"/>
      <c r="V56" s="9"/>
    </row>
    <row r="57">
      <c r="A57" s="9" t="s">
        <v>19</v>
      </c>
      <c r="B57" s="10"/>
      <c r="C57" s="11"/>
      <c r="D57" s="12"/>
      <c r="E57" s="10"/>
      <c r="F57" s="11"/>
      <c r="G57" s="12"/>
      <c r="H57" s="10"/>
      <c r="I57" s="11"/>
      <c r="J57" s="12"/>
      <c r="K57" s="10"/>
      <c r="L57" s="11"/>
      <c r="M57" s="12"/>
      <c r="N57" s="10"/>
      <c r="O57" s="11"/>
      <c r="P57" s="12"/>
      <c r="S57" s="9"/>
      <c r="T57" s="9"/>
      <c r="U57" s="9"/>
      <c r="V57" s="9"/>
    </row>
    <row r="58">
      <c r="A58" s="5" t="s">
        <v>25</v>
      </c>
      <c r="B58" s="6">
        <f>SUM(B59:B66)</f>
      </c>
      <c r="C58" s="7">
        <f>SUM(C59:C66)</f>
      </c>
      <c r="D58" s="8">
        <f>IF(B58&gt;0,C58/B58,"")</f>
      </c>
      <c r="E58" s="6">
        <f>SUM(E59:E66)</f>
      </c>
      <c r="F58" s="7">
        <f>SUM(F59:F66)</f>
      </c>
      <c r="G58" s="8">
        <f>IF(E58&gt;0,F58/E58,"")</f>
      </c>
      <c r="H58" s="6">
        <f>SUM(H59:H66)</f>
      </c>
      <c r="I58" s="7">
        <f>SUM(I59:I66)</f>
      </c>
      <c r="J58" s="8">
        <f>IF(H58&gt;0,I58/H58,"")</f>
      </c>
      <c r="K58" s="6">
        <f>SUM(K59:K66)</f>
      </c>
      <c r="L58" s="7">
        <f>SUM(L59:L66)</f>
      </c>
      <c r="M58" s="8">
        <f>IF(K58&gt;0,L58/K58,"")</f>
      </c>
      <c r="N58" s="6">
        <f>SUM(N59:N66)</f>
      </c>
      <c r="O58" s="7">
        <f>SUM(O59:O66)</f>
      </c>
      <c r="P58" s="8">
        <f>IF(N58&gt;0,O58/N58,"")</f>
      </c>
      <c r="S58" s="14">
        <f>IF(B58&gt;0,C58/B58,"")</f>
      </c>
      <c r="T58" s="14">
        <f>IF(E58&gt;0,F58/E58,"")</f>
      </c>
      <c r="U58" s="14">
        <f>IF((H58+K58)&gt;0,(I58+L58)/(H58+K58),"")</f>
      </c>
      <c r="V58" s="14">
        <f>IF(N58&gt;0,O58/N58,"")</f>
      </c>
    </row>
    <row r="59">
      <c r="A59" s="9" t="s">
        <v>12</v>
      </c>
      <c r="B59" s="10"/>
      <c r="C59" s="11"/>
      <c r="D59" s="12"/>
      <c r="E59" s="10">
        <v>3.22</v>
      </c>
      <c r="F59" s="11">
        <v>321.91</v>
      </c>
      <c r="G59" s="12">
        <f>IF(E59&gt;0,F59/E59,"")</f>
      </c>
      <c r="H59" s="10">
        <v>1.6</v>
      </c>
      <c r="I59" s="11">
        <v>116.8</v>
      </c>
      <c r="J59" s="12">
        <f>IF(H59&gt;0,I59/H59,"")</f>
      </c>
      <c r="K59" s="10"/>
      <c r="L59" s="11"/>
      <c r="M59" s="12"/>
      <c r="N59" s="10"/>
      <c r="O59" s="11"/>
      <c r="P59" s="12"/>
      <c r="S59" s="9"/>
      <c r="T59" s="9"/>
      <c r="U59" s="9"/>
      <c r="V59" s="9"/>
    </row>
    <row r="60">
      <c r="A60" s="9" t="s">
        <v>13</v>
      </c>
      <c r="B60" s="10"/>
      <c r="C60" s="11"/>
      <c r="D60" s="12"/>
      <c r="E60" s="10">
        <v>3.2</v>
      </c>
      <c r="F60" s="11">
        <v>260.8</v>
      </c>
      <c r="G60" s="12">
        <f>IF(E60&gt;0,F60/E60,"")</f>
      </c>
      <c r="H60" s="10">
        <v>3.2</v>
      </c>
      <c r="I60" s="11">
        <v>312</v>
      </c>
      <c r="J60" s="12">
        <f>IF(H60&gt;0,I60/H60,"")</f>
      </c>
      <c r="K60" s="10"/>
      <c r="L60" s="11"/>
      <c r="M60" s="12"/>
      <c r="N60" s="10"/>
      <c r="O60" s="11"/>
      <c r="P60" s="12"/>
      <c r="S60" s="9"/>
      <c r="T60" s="9"/>
      <c r="U60" s="9"/>
      <c r="V60" s="9"/>
    </row>
    <row r="61">
      <c r="A61" s="9" t="s">
        <v>14</v>
      </c>
      <c r="B61" s="10"/>
      <c r="C61" s="11"/>
      <c r="D61" s="12"/>
      <c r="E61" s="10">
        <v>19.28</v>
      </c>
      <c r="F61" s="11">
        <v>1679.75</v>
      </c>
      <c r="G61" s="12">
        <f>IF(E61&gt;0,F61/E61,"")</f>
      </c>
      <c r="H61" s="10">
        <v>4.8</v>
      </c>
      <c r="I61" s="11">
        <v>372.8</v>
      </c>
      <c r="J61" s="12">
        <f>IF(H61&gt;0,I61/H61,"")</f>
      </c>
      <c r="K61" s="10">
        <v>1.6</v>
      </c>
      <c r="L61" s="11">
        <v>112</v>
      </c>
      <c r="M61" s="12">
        <f>IF(K61&gt;0,L61/K61,"")</f>
      </c>
      <c r="N61" s="10"/>
      <c r="O61" s="11"/>
      <c r="P61" s="12"/>
      <c r="S61" s="9"/>
      <c r="T61" s="9"/>
      <c r="U61" s="9"/>
      <c r="V61" s="9"/>
    </row>
    <row r="62">
      <c r="A62" s="9" t="s">
        <v>15</v>
      </c>
      <c r="B62" s="10"/>
      <c r="C62" s="11"/>
      <c r="D62" s="12"/>
      <c r="E62" s="10">
        <v>6.4</v>
      </c>
      <c r="F62" s="11">
        <v>480</v>
      </c>
      <c r="G62" s="12">
        <f>IF(E62&gt;0,F62/E62,"")</f>
      </c>
      <c r="H62" s="10">
        <v>1.6</v>
      </c>
      <c r="I62" s="11">
        <v>110.4</v>
      </c>
      <c r="J62" s="12">
        <f>IF(H62&gt;0,I62/H62,"")</f>
      </c>
      <c r="K62" s="10">
        <v>1.6</v>
      </c>
      <c r="L62" s="11">
        <v>102.74</v>
      </c>
      <c r="M62" s="12">
        <f>IF(K62&gt;0,L62/K62,"")</f>
      </c>
      <c r="N62" s="10"/>
      <c r="O62" s="11"/>
      <c r="P62" s="12"/>
      <c r="S62" s="9"/>
      <c r="T62" s="9"/>
      <c r="U62" s="9"/>
      <c r="V62" s="9"/>
    </row>
    <row r="63">
      <c r="A63" s="9" t="s">
        <v>16</v>
      </c>
      <c r="B63" s="10">
        <v>3.2</v>
      </c>
      <c r="C63" s="11">
        <v>275.2</v>
      </c>
      <c r="D63" s="12">
        <f>IF(B63&gt;0,C63/B63,"")</f>
      </c>
      <c r="E63" s="10">
        <v>1.6</v>
      </c>
      <c r="F63" s="11">
        <v>115.2</v>
      </c>
      <c r="G63" s="12">
        <f>IF(E63&gt;0,F63/E63,"")</f>
      </c>
      <c r="H63" s="10"/>
      <c r="I63" s="11"/>
      <c r="J63" s="12"/>
      <c r="K63" s="10"/>
      <c r="L63" s="11"/>
      <c r="M63" s="12"/>
      <c r="N63" s="10"/>
      <c r="O63" s="11"/>
      <c r="P63" s="12"/>
      <c r="S63" s="9"/>
      <c r="T63" s="9"/>
      <c r="U63" s="9"/>
      <c r="V63" s="9"/>
    </row>
    <row r="64">
      <c r="A64" s="9" t="s">
        <v>17</v>
      </c>
      <c r="B64" s="10"/>
      <c r="C64" s="11"/>
      <c r="D64" s="12"/>
      <c r="E64" s="10"/>
      <c r="F64" s="11"/>
      <c r="G64" s="12"/>
      <c r="H64" s="10"/>
      <c r="I64" s="11"/>
      <c r="J64" s="12"/>
      <c r="K64" s="10"/>
      <c r="L64" s="11"/>
      <c r="M64" s="12"/>
      <c r="N64" s="10"/>
      <c r="O64" s="11"/>
      <c r="P64" s="12"/>
      <c r="S64" s="9"/>
      <c r="T64" s="9"/>
      <c r="U64" s="9"/>
      <c r="V64" s="9"/>
    </row>
    <row r="65">
      <c r="A65" s="9" t="s">
        <v>18</v>
      </c>
      <c r="B65" s="10"/>
      <c r="C65" s="11"/>
      <c r="D65" s="12"/>
      <c r="E65" s="10"/>
      <c r="F65" s="11"/>
      <c r="G65" s="12"/>
      <c r="H65" s="10"/>
      <c r="I65" s="11"/>
      <c r="J65" s="12"/>
      <c r="K65" s="10"/>
      <c r="L65" s="11"/>
      <c r="M65" s="12"/>
      <c r="N65" s="10"/>
      <c r="O65" s="11"/>
      <c r="P65" s="12"/>
      <c r="S65" s="9"/>
      <c r="T65" s="9"/>
      <c r="U65" s="9"/>
      <c r="V65" s="9"/>
    </row>
    <row r="66">
      <c r="A66" s="9" t="s">
        <v>19</v>
      </c>
      <c r="B66" s="10"/>
      <c r="C66" s="11"/>
      <c r="D66" s="12"/>
      <c r="E66" s="10"/>
      <c r="F66" s="11"/>
      <c r="G66" s="12"/>
      <c r="H66" s="10"/>
      <c r="I66" s="11"/>
      <c r="J66" s="12"/>
      <c r="K66" s="10"/>
      <c r="L66" s="11"/>
      <c r="M66" s="12"/>
      <c r="N66" s="10"/>
      <c r="O66" s="11"/>
      <c r="P66" s="12"/>
      <c r="S66" s="9"/>
      <c r="T66" s="9"/>
      <c r="U66" s="9"/>
      <c r="V66" s="9"/>
    </row>
    <row r="67">
      <c r="A67" s="5" t="s">
        <v>26</v>
      </c>
      <c r="B67" s="6">
        <f>SUM(B68:B75)</f>
      </c>
      <c r="C67" s="7">
        <f>SUM(C68:C75)</f>
      </c>
      <c r="D67" s="8">
        <f>IF(B67&gt;0,C67/B67,"")</f>
      </c>
      <c r="E67" s="6">
        <f>SUM(E68:E75)</f>
      </c>
      <c r="F67" s="7">
        <f>SUM(F68:F75)</f>
      </c>
      <c r="G67" s="8">
        <f>IF(E67&gt;0,F67/E67,"")</f>
      </c>
      <c r="H67" s="6">
        <f>SUM(H68:H75)</f>
      </c>
      <c r="I67" s="7">
        <f>SUM(I68:I75)</f>
      </c>
      <c r="J67" s="8">
        <f>IF(H67&gt;0,I67/H67,"")</f>
      </c>
      <c r="K67" s="6">
        <f>SUM(K68:K75)</f>
      </c>
      <c r="L67" s="7">
        <f>SUM(L68:L75)</f>
      </c>
      <c r="M67" s="8">
        <f>IF(K67&gt;0,L67/K67,"")</f>
      </c>
      <c r="N67" s="6">
        <f>SUM(N68:N75)</f>
      </c>
      <c r="O67" s="7">
        <f>SUM(O68:O75)</f>
      </c>
      <c r="P67" s="8">
        <f>IF(N67&gt;0,O67/N67,"")</f>
      </c>
      <c r="S67" s="14">
        <f>IF(B67&gt;0,C67/B67,"")</f>
      </c>
      <c r="T67" s="14">
        <f>IF(E67&gt;0,F67/E67,"")</f>
      </c>
      <c r="U67" s="14">
        <f>IF((H67+K67)&gt;0,(I67+L67)/(H67+K67),"")</f>
      </c>
      <c r="V67" s="14">
        <f>IF(N67&gt;0,O67/N67,"")</f>
      </c>
    </row>
    <row r="68">
      <c r="A68" s="9" t="s">
        <v>12</v>
      </c>
      <c r="B68" s="10"/>
      <c r="C68" s="11"/>
      <c r="D68" s="12"/>
      <c r="E68" s="10"/>
      <c r="F68" s="11"/>
      <c r="G68" s="12"/>
      <c r="H68" s="10">
        <v>3.55</v>
      </c>
      <c r="I68" s="11">
        <v>408.25</v>
      </c>
      <c r="J68" s="12">
        <f>IF(H68&gt;0,I68/H68,"")</f>
      </c>
      <c r="K68" s="10"/>
      <c r="L68" s="11"/>
      <c r="M68" s="12"/>
      <c r="N68" s="10"/>
      <c r="O68" s="11"/>
      <c r="P68" s="12"/>
      <c r="S68" s="9"/>
      <c r="T68" s="9"/>
      <c r="U68" s="9"/>
      <c r="V68" s="9"/>
    </row>
    <row r="69">
      <c r="A69" s="9" t="s">
        <v>13</v>
      </c>
      <c r="B69" s="10"/>
      <c r="C69" s="11"/>
      <c r="D69" s="12"/>
      <c r="E69" s="10"/>
      <c r="F69" s="11"/>
      <c r="G69" s="12"/>
      <c r="H69" s="10"/>
      <c r="I69" s="11"/>
      <c r="J69" s="12"/>
      <c r="K69" s="10"/>
      <c r="L69" s="11"/>
      <c r="M69" s="12"/>
      <c r="N69" s="10"/>
      <c r="O69" s="11"/>
      <c r="P69" s="12"/>
      <c r="S69" s="9"/>
      <c r="T69" s="9"/>
      <c r="U69" s="9"/>
      <c r="V69" s="9"/>
    </row>
    <row r="70">
      <c r="A70" s="9" t="s">
        <v>14</v>
      </c>
      <c r="B70" s="10"/>
      <c r="C70" s="11"/>
      <c r="D70" s="12"/>
      <c r="E70" s="10"/>
      <c r="F70" s="11"/>
      <c r="G70" s="12"/>
      <c r="H70" s="10"/>
      <c r="I70" s="11"/>
      <c r="J70" s="12"/>
      <c r="K70" s="10"/>
      <c r="L70" s="11"/>
      <c r="M70" s="12"/>
      <c r="N70" s="10"/>
      <c r="O70" s="11"/>
      <c r="P70" s="12"/>
      <c r="S70" s="9"/>
      <c r="T70" s="9"/>
      <c r="U70" s="9"/>
      <c r="V70" s="9"/>
    </row>
    <row r="71">
      <c r="A71" s="9" t="s">
        <v>15</v>
      </c>
      <c r="B71" s="10"/>
      <c r="C71" s="11"/>
      <c r="D71" s="12"/>
      <c r="E71" s="10">
        <v>1.76</v>
      </c>
      <c r="F71" s="11">
        <v>110.88</v>
      </c>
      <c r="G71" s="12">
        <f>IF(E71&gt;0,F71/E71,"")</f>
      </c>
      <c r="H71" s="10"/>
      <c r="I71" s="11"/>
      <c r="J71" s="12"/>
      <c r="K71" s="10"/>
      <c r="L71" s="11"/>
      <c r="M71" s="12"/>
      <c r="N71" s="10"/>
      <c r="O71" s="11"/>
      <c r="P71" s="12"/>
      <c r="S71" s="9"/>
      <c r="T71" s="9"/>
      <c r="U71" s="9"/>
      <c r="V71" s="9"/>
    </row>
    <row r="72">
      <c r="A72" s="9" t="s">
        <v>16</v>
      </c>
      <c r="B72" s="10"/>
      <c r="C72" s="11"/>
      <c r="D72" s="12"/>
      <c r="E72" s="10">
        <v>1.91</v>
      </c>
      <c r="F72" s="11">
        <v>141.34</v>
      </c>
      <c r="G72" s="12">
        <f>IF(E72&gt;0,F72/E72,"")</f>
      </c>
      <c r="H72" s="10"/>
      <c r="I72" s="11"/>
      <c r="J72" s="12"/>
      <c r="K72" s="10"/>
      <c r="L72" s="11"/>
      <c r="M72" s="12"/>
      <c r="N72" s="10"/>
      <c r="O72" s="11"/>
      <c r="P72" s="12"/>
      <c r="S72" s="9"/>
      <c r="T72" s="9"/>
      <c r="U72" s="9"/>
      <c r="V72" s="9"/>
    </row>
    <row r="73">
      <c r="A73" s="9" t="s">
        <v>17</v>
      </c>
      <c r="B73" s="10"/>
      <c r="C73" s="11"/>
      <c r="D73" s="12"/>
      <c r="E73" s="10"/>
      <c r="F73" s="11"/>
      <c r="G73" s="12"/>
      <c r="H73" s="10"/>
      <c r="I73" s="11"/>
      <c r="J73" s="12"/>
      <c r="K73" s="10"/>
      <c r="L73" s="11"/>
      <c r="M73" s="12"/>
      <c r="N73" s="10"/>
      <c r="O73" s="11"/>
      <c r="P73" s="12"/>
      <c r="S73" s="9"/>
      <c r="T73" s="9"/>
      <c r="U73" s="9"/>
      <c r="V73" s="9"/>
    </row>
    <row r="74">
      <c r="A74" s="9" t="s">
        <v>18</v>
      </c>
      <c r="B74" s="10"/>
      <c r="C74" s="11"/>
      <c r="D74" s="12"/>
      <c r="E74" s="10"/>
      <c r="F74" s="11"/>
      <c r="G74" s="12"/>
      <c r="H74" s="10"/>
      <c r="I74" s="11"/>
      <c r="J74" s="12"/>
      <c r="K74" s="10"/>
      <c r="L74" s="11"/>
      <c r="M74" s="12"/>
      <c r="N74" s="10"/>
      <c r="O74" s="11"/>
      <c r="P74" s="12"/>
      <c r="S74" s="9"/>
      <c r="T74" s="9"/>
      <c r="U74" s="9"/>
      <c r="V74" s="9"/>
    </row>
    <row r="75">
      <c r="A75" s="9" t="s">
        <v>19</v>
      </c>
      <c r="B75" s="10"/>
      <c r="C75" s="11"/>
      <c r="D75" s="12"/>
      <c r="E75" s="10"/>
      <c r="F75" s="11"/>
      <c r="G75" s="12"/>
      <c r="H75" s="10"/>
      <c r="I75" s="11"/>
      <c r="J75" s="12"/>
      <c r="K75" s="10"/>
      <c r="L75" s="11"/>
      <c r="M75" s="12"/>
      <c r="N75" s="10"/>
      <c r="O75" s="11"/>
      <c r="P75" s="12"/>
      <c r="S75" s="9"/>
      <c r="T75" s="9"/>
      <c r="U75" s="9"/>
      <c r="V75" s="9"/>
    </row>
    <row r="76">
      <c r="A76" s="5" t="s">
        <v>27</v>
      </c>
      <c r="B76" s="6">
        <f>SUM(B77:B84)</f>
      </c>
      <c r="C76" s="7">
        <f>SUM(C77:C84)</f>
      </c>
      <c r="D76" s="8">
        <f>IF(B76&gt;0,C76/B76,"")</f>
      </c>
      <c r="E76" s="6">
        <f>SUM(E77:E84)</f>
      </c>
      <c r="F76" s="7">
        <f>SUM(F77:F84)</f>
      </c>
      <c r="G76" s="8">
        <f>IF(E76&gt;0,F76/E76,"")</f>
      </c>
      <c r="H76" s="6">
        <f>SUM(H77:H84)</f>
      </c>
      <c r="I76" s="7">
        <f>SUM(I77:I84)</f>
      </c>
      <c r="J76" s="8">
        <f>IF(H76&gt;0,I76/H76,"")</f>
      </c>
      <c r="K76" s="6">
        <f>SUM(K77:K84)</f>
      </c>
      <c r="L76" s="7">
        <f>SUM(L77:L84)</f>
      </c>
      <c r="M76" s="8">
        <f>IF(K76&gt;0,L76/K76,"")</f>
      </c>
      <c r="N76" s="6">
        <f>SUM(N77:N84)</f>
      </c>
      <c r="O76" s="7">
        <f>SUM(O77:O84)</f>
      </c>
      <c r="P76" s="8">
        <f>IF(N76&gt;0,O76/N76,"")</f>
      </c>
      <c r="S76" s="14">
        <f>IF(B76&gt;0,C76/B76,"")</f>
      </c>
      <c r="T76" s="14">
        <f>IF(E76&gt;0,F76/E76,"")</f>
      </c>
      <c r="U76" s="14">
        <f>IF((H76+K76)&gt;0,(I76+L76)/(H76+K76),"")</f>
      </c>
      <c r="V76" s="14">
        <f>IF(N76&gt;0,O76/N76,"")</f>
      </c>
    </row>
    <row r="77">
      <c r="A77" s="9" t="s">
        <v>12</v>
      </c>
      <c r="B77" s="10">
        <v>6.06</v>
      </c>
      <c r="C77" s="11">
        <v>810.14</v>
      </c>
      <c r="D77" s="12">
        <f>IF(B77&gt;0,C77/B77,"")</f>
      </c>
      <c r="E77" s="10">
        <v>46.8</v>
      </c>
      <c r="F77" s="11">
        <v>4541.3</v>
      </c>
      <c r="G77" s="12">
        <f>IF(E77&gt;0,F77/E77,"")</f>
      </c>
      <c r="H77" s="10">
        <v>38.45</v>
      </c>
      <c r="I77" s="11">
        <v>3633.25</v>
      </c>
      <c r="J77" s="12">
        <f>IF(H77&gt;0,I77/H77,"")</f>
      </c>
      <c r="K77" s="10">
        <v>6.07</v>
      </c>
      <c r="L77" s="11">
        <v>437.04</v>
      </c>
      <c r="M77" s="12">
        <f>IF(K77&gt;0,L77/K77,"")</f>
      </c>
      <c r="N77" s="10">
        <v>2.06</v>
      </c>
      <c r="O77" s="11">
        <v>117.42</v>
      </c>
      <c r="P77" s="12">
        <f>IF(N77&gt;0,O77/N77,"")</f>
      </c>
      <c r="S77" s="9"/>
      <c r="T77" s="9"/>
      <c r="U77" s="9"/>
      <c r="V77" s="9"/>
    </row>
    <row r="78">
      <c r="A78" s="9" t="s">
        <v>13</v>
      </c>
      <c r="B78" s="10">
        <v>18.39</v>
      </c>
      <c r="C78" s="11">
        <v>2044.75</v>
      </c>
      <c r="D78" s="12">
        <f>IF(B78&gt;0,C78/B78,"")</f>
      </c>
      <c r="E78" s="10">
        <v>103.94</v>
      </c>
      <c r="F78" s="11">
        <v>8873.45</v>
      </c>
      <c r="G78" s="12">
        <f>IF(E78&gt;0,F78/E78,"")</f>
      </c>
      <c r="H78" s="10">
        <v>77.13</v>
      </c>
      <c r="I78" s="11">
        <v>6897.18</v>
      </c>
      <c r="J78" s="12">
        <f>IF(H78&gt;0,I78/H78,"")</f>
      </c>
      <c r="K78" s="10">
        <v>14.16</v>
      </c>
      <c r="L78" s="11">
        <v>1130.16</v>
      </c>
      <c r="M78" s="12">
        <f>IF(K78&gt;0,L78/K78,"")</f>
      </c>
      <c r="N78" s="10"/>
      <c r="O78" s="11"/>
      <c r="P78" s="12"/>
      <c r="S78" s="9"/>
      <c r="T78" s="9"/>
      <c r="U78" s="9"/>
      <c r="V78" s="9"/>
    </row>
    <row r="79">
      <c r="A79" s="9" t="s">
        <v>14</v>
      </c>
      <c r="B79" s="10">
        <v>12.14</v>
      </c>
      <c r="C79" s="11">
        <v>1323.2</v>
      </c>
      <c r="D79" s="12">
        <f>IF(B79&gt;0,C79/B79,"")</f>
      </c>
      <c r="E79" s="10">
        <v>133.74</v>
      </c>
      <c r="F79" s="11">
        <v>11252.97</v>
      </c>
      <c r="G79" s="12">
        <f>IF(E79&gt;0,F79/E79,"")</f>
      </c>
      <c r="H79" s="10">
        <v>107.56</v>
      </c>
      <c r="I79" s="11">
        <v>8556.58</v>
      </c>
      <c r="J79" s="12">
        <f>IF(H79&gt;0,I79/H79,"")</f>
      </c>
      <c r="K79" s="10">
        <v>16.36</v>
      </c>
      <c r="L79" s="11">
        <v>1381.66</v>
      </c>
      <c r="M79" s="12">
        <f>IF(K79&gt;0,L79/K79,"")</f>
      </c>
      <c r="N79" s="10">
        <v>2</v>
      </c>
      <c r="O79" s="11">
        <v>142</v>
      </c>
      <c r="P79" s="12">
        <f>IF(N79&gt;0,O79/N79,"")</f>
      </c>
      <c r="S79" s="9"/>
      <c r="T79" s="9"/>
      <c r="U79" s="9"/>
      <c r="V79" s="9"/>
    </row>
    <row r="80">
      <c r="A80" s="9" t="s">
        <v>15</v>
      </c>
      <c r="B80" s="10"/>
      <c r="C80" s="11"/>
      <c r="D80" s="12"/>
      <c r="E80" s="10">
        <v>26.33</v>
      </c>
      <c r="F80" s="11">
        <v>1997.34</v>
      </c>
      <c r="G80" s="12">
        <f>IF(E80&gt;0,F80/E80,"")</f>
      </c>
      <c r="H80" s="10">
        <v>28.44</v>
      </c>
      <c r="I80" s="11">
        <v>2268.53</v>
      </c>
      <c r="J80" s="12">
        <f>IF(H80&gt;0,I80/H80,"")</f>
      </c>
      <c r="K80" s="10">
        <v>6.04</v>
      </c>
      <c r="L80" s="11">
        <v>464.25</v>
      </c>
      <c r="M80" s="12">
        <f>IF(K80&gt;0,L80/K80,"")</f>
      </c>
      <c r="N80" s="10">
        <v>2.01</v>
      </c>
      <c r="O80" s="11">
        <v>136.68</v>
      </c>
      <c r="P80" s="12">
        <f>IF(N80&gt;0,O80/N80,"")</f>
      </c>
      <c r="S80" s="9"/>
      <c r="T80" s="9"/>
      <c r="U80" s="9"/>
      <c r="V80" s="9"/>
    </row>
    <row r="81">
      <c r="A81" s="9" t="s">
        <v>16</v>
      </c>
      <c r="B81" s="10">
        <v>4.05</v>
      </c>
      <c r="C81" s="11">
        <v>421.9</v>
      </c>
      <c r="D81" s="12">
        <f>IF(B81&gt;0,C81/B81,"")</f>
      </c>
      <c r="E81" s="10">
        <v>6.1</v>
      </c>
      <c r="F81" s="11">
        <v>431.29</v>
      </c>
      <c r="G81" s="12">
        <f>IF(E81&gt;0,F81/E81,"")</f>
      </c>
      <c r="H81" s="10"/>
      <c r="I81" s="11"/>
      <c r="J81" s="12"/>
      <c r="K81" s="10"/>
      <c r="L81" s="11"/>
      <c r="M81" s="12"/>
      <c r="N81" s="10"/>
      <c r="O81" s="11"/>
      <c r="P81" s="12"/>
      <c r="S81" s="9"/>
      <c r="T81" s="9"/>
      <c r="U81" s="9"/>
      <c r="V81" s="9"/>
    </row>
    <row r="82">
      <c r="A82" s="9" t="s">
        <v>17</v>
      </c>
      <c r="B82" s="10"/>
      <c r="C82" s="11"/>
      <c r="D82" s="12"/>
      <c r="E82" s="10"/>
      <c r="F82" s="11"/>
      <c r="G82" s="12"/>
      <c r="H82" s="10"/>
      <c r="I82" s="11"/>
      <c r="J82" s="12"/>
      <c r="K82" s="10"/>
      <c r="L82" s="11"/>
      <c r="M82" s="12"/>
      <c r="N82" s="10"/>
      <c r="O82" s="11"/>
      <c r="P82" s="12"/>
      <c r="S82" s="9"/>
      <c r="T82" s="9"/>
      <c r="U82" s="9"/>
      <c r="V82" s="9"/>
    </row>
    <row r="83">
      <c r="A83" s="9" t="s">
        <v>18</v>
      </c>
      <c r="B83" s="10"/>
      <c r="C83" s="11"/>
      <c r="D83" s="12"/>
      <c r="E83" s="10"/>
      <c r="F83" s="11"/>
      <c r="G83" s="12"/>
      <c r="H83" s="10"/>
      <c r="I83" s="11"/>
      <c r="J83" s="12"/>
      <c r="K83" s="10"/>
      <c r="L83" s="11"/>
      <c r="M83" s="12"/>
      <c r="N83" s="10"/>
      <c r="O83" s="11"/>
      <c r="P83" s="12"/>
      <c r="S83" s="9"/>
      <c r="T83" s="9"/>
      <c r="U83" s="9"/>
      <c r="V83" s="9"/>
    </row>
    <row r="84">
      <c r="A84" s="9" t="s">
        <v>19</v>
      </c>
      <c r="B84" s="10"/>
      <c r="C84" s="11"/>
      <c r="D84" s="12"/>
      <c r="E84" s="10"/>
      <c r="F84" s="11"/>
      <c r="G84" s="12"/>
      <c r="H84" s="10"/>
      <c r="I84" s="11"/>
      <c r="J84" s="12"/>
      <c r="K84" s="10"/>
      <c r="L84" s="11"/>
      <c r="M84" s="12"/>
      <c r="N84" s="10"/>
      <c r="O84" s="11"/>
      <c r="P84" s="12"/>
      <c r="S84" s="9"/>
      <c r="T84" s="9"/>
      <c r="U84" s="9"/>
      <c r="V84" s="9"/>
    </row>
    <row r="85">
      <c r="A85" s="5" t="s">
        <v>28</v>
      </c>
      <c r="B85" s="6">
        <f>SUM(B86:B93)</f>
      </c>
      <c r="C85" s="7">
        <f>SUM(C86:C93)</f>
      </c>
      <c r="D85" s="8">
        <f>IF(B85&gt;0,C85/B85,"")</f>
      </c>
      <c r="E85" s="6">
        <f>SUM(E86:E93)</f>
      </c>
      <c r="F85" s="7">
        <f>SUM(F86:F93)</f>
      </c>
      <c r="G85" s="8">
        <f>IF(E85&gt;0,F85/E85,"")</f>
      </c>
      <c r="H85" s="6">
        <f>SUM(H86:H93)</f>
      </c>
      <c r="I85" s="7">
        <f>SUM(I86:I93)</f>
      </c>
      <c r="J85" s="8">
        <f>IF(H85&gt;0,I85/H85,"")</f>
      </c>
      <c r="K85" s="6">
        <f>SUM(K86:K93)</f>
      </c>
      <c r="L85" s="7">
        <f>SUM(L86:L93)</f>
      </c>
      <c r="M85" s="8">
        <f>IF(K85&gt;0,L85/K85,"")</f>
      </c>
      <c r="N85" s="6">
        <f>SUM(N86:N93)</f>
      </c>
      <c r="O85" s="7">
        <f>SUM(O86:O93)</f>
      </c>
      <c r="P85" s="8">
        <f>IF(N85&gt;0,O85/N85,"")</f>
      </c>
      <c r="S85" s="14">
        <f>IF(B85&gt;0,C85/B85,"")</f>
      </c>
      <c r="T85" s="14">
        <f>IF(E85&gt;0,F85/E85,"")</f>
      </c>
      <c r="U85" s="14">
        <f>IF((H85+K85)&gt;0,(I85+L85)/(H85+K85),"")</f>
      </c>
      <c r="V85" s="14">
        <f>IF(N85&gt;0,O85/N85,"")</f>
      </c>
    </row>
    <row r="86">
      <c r="A86" s="9" t="s">
        <v>12</v>
      </c>
      <c r="B86" s="10"/>
      <c r="C86" s="11"/>
      <c r="D86" s="12"/>
      <c r="E86" s="10"/>
      <c r="F86" s="11"/>
      <c r="G86" s="12"/>
      <c r="H86" s="10">
        <v>2.3</v>
      </c>
      <c r="I86" s="11">
        <v>149.5</v>
      </c>
      <c r="J86" s="12">
        <f>IF(H86&gt;0,I86/H86,"")</f>
      </c>
      <c r="K86" s="10"/>
      <c r="L86" s="11"/>
      <c r="M86" s="12"/>
      <c r="N86" s="10"/>
      <c r="O86" s="11"/>
      <c r="P86" s="12"/>
      <c r="S86" s="9"/>
      <c r="T86" s="9"/>
      <c r="U86" s="9"/>
      <c r="V86" s="9"/>
    </row>
    <row r="87">
      <c r="A87" s="9" t="s">
        <v>13</v>
      </c>
      <c r="B87" s="10"/>
      <c r="C87" s="11"/>
      <c r="D87" s="12"/>
      <c r="E87" s="10">
        <v>2.11</v>
      </c>
      <c r="F87" s="11">
        <v>177.24</v>
      </c>
      <c r="G87" s="12">
        <f>IF(E87&gt;0,F87/E87,"")</f>
      </c>
      <c r="H87" s="10">
        <v>2.4</v>
      </c>
      <c r="I87" s="11">
        <v>244.8</v>
      </c>
      <c r="J87" s="12">
        <f>IF(H87&gt;0,I87/H87,"")</f>
      </c>
      <c r="K87" s="10">
        <v>2.11</v>
      </c>
      <c r="L87" s="11">
        <v>238.83</v>
      </c>
      <c r="M87" s="12">
        <f>IF(K87&gt;0,L87/K87,"")</f>
      </c>
      <c r="N87" s="10"/>
      <c r="O87" s="11"/>
      <c r="P87" s="12"/>
      <c r="S87" s="9"/>
      <c r="T87" s="9"/>
      <c r="U87" s="9"/>
      <c r="V87" s="9"/>
    </row>
    <row r="88">
      <c r="A88" s="9" t="s">
        <v>14</v>
      </c>
      <c r="B88" s="10"/>
      <c r="C88" s="11"/>
      <c r="D88" s="12"/>
      <c r="E88" s="10">
        <v>2.31</v>
      </c>
      <c r="F88" s="11">
        <v>189.42</v>
      </c>
      <c r="G88" s="12">
        <f>IF(E88&gt;0,F88/E88,"")</f>
      </c>
      <c r="H88" s="10">
        <v>2.36</v>
      </c>
      <c r="I88" s="11">
        <v>259.6</v>
      </c>
      <c r="J88" s="12">
        <f>IF(H88&gt;0,I88/H88,"")</f>
      </c>
      <c r="K88" s="10"/>
      <c r="L88" s="11"/>
      <c r="M88" s="12"/>
      <c r="N88" s="10"/>
      <c r="O88" s="11"/>
      <c r="P88" s="12"/>
      <c r="S88" s="9"/>
      <c r="T88" s="9"/>
      <c r="U88" s="9"/>
      <c r="V88" s="9"/>
    </row>
    <row r="89">
      <c r="A89" s="9" t="s">
        <v>15</v>
      </c>
      <c r="B89" s="10"/>
      <c r="C89" s="11"/>
      <c r="D89" s="12"/>
      <c r="E89" s="10"/>
      <c r="F89" s="11"/>
      <c r="G89" s="12"/>
      <c r="H89" s="10"/>
      <c r="I89" s="11"/>
      <c r="J89" s="12"/>
      <c r="K89" s="10"/>
      <c r="L89" s="11"/>
      <c r="M89" s="12"/>
      <c r="N89" s="10"/>
      <c r="O89" s="11"/>
      <c r="P89" s="12"/>
      <c r="S89" s="9"/>
      <c r="T89" s="9"/>
      <c r="U89" s="9"/>
      <c r="V89" s="9"/>
    </row>
    <row r="90">
      <c r="A90" s="9" t="s">
        <v>16</v>
      </c>
      <c r="B90" s="10"/>
      <c r="C90" s="11"/>
      <c r="D90" s="12"/>
      <c r="E90" s="10"/>
      <c r="F90" s="11"/>
      <c r="G90" s="12"/>
      <c r="H90" s="10"/>
      <c r="I90" s="11"/>
      <c r="J90" s="12"/>
      <c r="K90" s="10"/>
      <c r="L90" s="11"/>
      <c r="M90" s="12"/>
      <c r="N90" s="10"/>
      <c r="O90" s="11"/>
      <c r="P90" s="12"/>
      <c r="S90" s="9"/>
      <c r="T90" s="9"/>
      <c r="U90" s="9"/>
      <c r="V90" s="9"/>
    </row>
    <row r="91">
      <c r="A91" s="9" t="s">
        <v>17</v>
      </c>
      <c r="B91" s="10"/>
      <c r="C91" s="11"/>
      <c r="D91" s="12"/>
      <c r="E91" s="10"/>
      <c r="F91" s="11"/>
      <c r="G91" s="12"/>
      <c r="H91" s="10"/>
      <c r="I91" s="11"/>
      <c r="J91" s="12"/>
      <c r="K91" s="10"/>
      <c r="L91" s="11"/>
      <c r="M91" s="12"/>
      <c r="N91" s="10"/>
      <c r="O91" s="11"/>
      <c r="P91" s="12"/>
      <c r="S91" s="9"/>
      <c r="T91" s="9"/>
      <c r="U91" s="9"/>
      <c r="V91" s="9"/>
    </row>
    <row r="92">
      <c r="A92" s="9" t="s">
        <v>18</v>
      </c>
      <c r="B92" s="10"/>
      <c r="C92" s="11"/>
      <c r="D92" s="12"/>
      <c r="E92" s="10"/>
      <c r="F92" s="11"/>
      <c r="G92" s="12"/>
      <c r="H92" s="10"/>
      <c r="I92" s="11"/>
      <c r="J92" s="12"/>
      <c r="K92" s="10"/>
      <c r="L92" s="11"/>
      <c r="M92" s="12"/>
      <c r="N92" s="10"/>
      <c r="O92" s="11"/>
      <c r="P92" s="12"/>
      <c r="S92" s="9"/>
      <c r="T92" s="9"/>
      <c r="U92" s="9"/>
      <c r="V92" s="9"/>
    </row>
    <row r="93">
      <c r="A93" s="9" t="s">
        <v>19</v>
      </c>
      <c r="B93" s="10"/>
      <c r="C93" s="11"/>
      <c r="D93" s="12"/>
      <c r="E93" s="10"/>
      <c r="F93" s="11"/>
      <c r="G93" s="12"/>
      <c r="H93" s="10"/>
      <c r="I93" s="11"/>
      <c r="J93" s="12"/>
      <c r="K93" s="10"/>
      <c r="L93" s="11"/>
      <c r="M93" s="12"/>
      <c r="N93" s="10"/>
      <c r="O93" s="11"/>
      <c r="P93" s="12"/>
      <c r="S93" s="9"/>
      <c r="T93" s="9"/>
      <c r="U93" s="9"/>
      <c r="V93" s="9"/>
    </row>
    <row r="94">
      <c r="A94" s="5" t="s">
        <v>29</v>
      </c>
      <c r="B94" s="6">
        <f>SUM(B95:B102)</f>
      </c>
      <c r="C94" s="7">
        <f>SUM(C95:C102)</f>
      </c>
      <c r="D94" s="8">
        <f>IF(B94&gt;0,C94/B94,"")</f>
      </c>
      <c r="E94" s="6">
        <f>SUM(E95:E102)</f>
      </c>
      <c r="F94" s="7">
        <f>SUM(F95:F102)</f>
      </c>
      <c r="G94" s="8">
        <f>IF(E94&gt;0,F94/E94,"")</f>
      </c>
      <c r="H94" s="6">
        <f>SUM(H95:H102)</f>
      </c>
      <c r="I94" s="7">
        <f>SUM(I95:I102)</f>
      </c>
      <c r="J94" s="8">
        <f>IF(H94&gt;0,I94/H94,"")</f>
      </c>
      <c r="K94" s="6">
        <f>SUM(K95:K102)</f>
      </c>
      <c r="L94" s="7">
        <f>SUM(L95:L102)</f>
      </c>
      <c r="M94" s="8">
        <f>IF(K94&gt;0,L94/K94,"")</f>
      </c>
      <c r="N94" s="6">
        <f>SUM(N95:N102)</f>
      </c>
      <c r="O94" s="7">
        <f>SUM(O95:O102)</f>
      </c>
      <c r="P94" s="8">
        <f>IF(N94&gt;0,O94/N94,"")</f>
      </c>
      <c r="S94" s="14">
        <f>IF(B94&gt;0,C94/B94,"")</f>
      </c>
      <c r="T94" s="14">
        <f>IF(E94&gt;0,F94/E94,"")</f>
      </c>
      <c r="U94" s="14">
        <f>IF((H94+K94)&gt;0,(I94+L94)/(H94+K94),"")</f>
      </c>
      <c r="V94" s="14">
        <f>IF(N94&gt;0,O94/N94,"")</f>
      </c>
    </row>
    <row r="95">
      <c r="A95" s="9" t="s">
        <v>12</v>
      </c>
      <c r="B95" s="10"/>
      <c r="C95" s="11"/>
      <c r="D95" s="12"/>
      <c r="E95" s="10">
        <v>7.52</v>
      </c>
      <c r="F95" s="11">
        <v>689.59</v>
      </c>
      <c r="G95" s="12">
        <f>IF(E95&gt;0,F95/E95,"")</f>
      </c>
      <c r="H95" s="10">
        <v>5.01</v>
      </c>
      <c r="I95" s="11">
        <v>395.79</v>
      </c>
      <c r="J95" s="12">
        <f>IF(H95&gt;0,I95/H95,"")</f>
      </c>
      <c r="K95" s="10"/>
      <c r="L95" s="11"/>
      <c r="M95" s="12"/>
      <c r="N95" s="10"/>
      <c r="O95" s="11"/>
      <c r="P95" s="12"/>
      <c r="S95" s="9"/>
      <c r="T95" s="9"/>
      <c r="U95" s="9"/>
      <c r="V95" s="9"/>
    </row>
    <row r="96">
      <c r="A96" s="9" t="s">
        <v>13</v>
      </c>
      <c r="B96" s="10">
        <v>5.06</v>
      </c>
      <c r="C96" s="11">
        <v>597.08</v>
      </c>
      <c r="D96" s="12">
        <f>IF(B96&gt;0,C96/B96,"")</f>
      </c>
      <c r="E96" s="10">
        <v>27.84</v>
      </c>
      <c r="F96" s="11">
        <v>2345.54</v>
      </c>
      <c r="G96" s="12">
        <f>IF(E96&gt;0,F96/E96,"")</f>
      </c>
      <c r="H96" s="10">
        <v>5.13</v>
      </c>
      <c r="I96" s="11">
        <v>425.84</v>
      </c>
      <c r="J96" s="12">
        <f>IF(H96&gt;0,I96/H96,"")</f>
      </c>
      <c r="K96" s="10">
        <v>5.07</v>
      </c>
      <c r="L96" s="11">
        <v>367.75</v>
      </c>
      <c r="M96" s="12">
        <f>IF(K96&gt;0,L96/K96,"")</f>
      </c>
      <c r="N96" s="10">
        <v>2.58</v>
      </c>
      <c r="O96" s="11">
        <v>144.48</v>
      </c>
      <c r="P96" s="12">
        <f>IF(N96&gt;0,O96/N96,"")</f>
      </c>
      <c r="S96" s="9"/>
      <c r="T96" s="9"/>
      <c r="U96" s="9"/>
      <c r="V96" s="9"/>
    </row>
    <row r="97">
      <c r="A97" s="9" t="s">
        <v>14</v>
      </c>
      <c r="B97" s="10">
        <v>5.1</v>
      </c>
      <c r="C97" s="11">
        <v>594.13</v>
      </c>
      <c r="D97" s="12">
        <f>IF(B97&gt;0,C97/B97,"")</f>
      </c>
      <c r="E97" s="10">
        <v>20.25</v>
      </c>
      <c r="F97" s="11">
        <v>1600.46</v>
      </c>
      <c r="G97" s="12">
        <f>IF(E97&gt;0,F97/E97,"")</f>
      </c>
      <c r="H97" s="10">
        <v>17.73</v>
      </c>
      <c r="I97" s="11">
        <v>1428.77</v>
      </c>
      <c r="J97" s="12">
        <f>IF(H97&gt;0,I97/H97,"")</f>
      </c>
      <c r="K97" s="10"/>
      <c r="L97" s="11"/>
      <c r="M97" s="12"/>
      <c r="N97" s="10"/>
      <c r="O97" s="11"/>
      <c r="P97" s="12"/>
      <c r="S97" s="9"/>
      <c r="T97" s="9"/>
      <c r="U97" s="9"/>
      <c r="V97" s="9"/>
    </row>
    <row r="98">
      <c r="A98" s="9" t="s">
        <v>15</v>
      </c>
      <c r="B98" s="10"/>
      <c r="C98" s="11"/>
      <c r="D98" s="12"/>
      <c r="E98" s="10">
        <v>5.05</v>
      </c>
      <c r="F98" s="11">
        <v>393.9</v>
      </c>
      <c r="G98" s="12">
        <f>IF(E98&gt;0,F98/E98,"")</f>
      </c>
      <c r="H98" s="10">
        <v>2.6</v>
      </c>
      <c r="I98" s="11">
        <v>156</v>
      </c>
      <c r="J98" s="12">
        <f>IF(H98&gt;0,I98/H98,"")</f>
      </c>
      <c r="K98" s="10">
        <v>2.56</v>
      </c>
      <c r="L98" s="11">
        <v>166.4</v>
      </c>
      <c r="M98" s="12">
        <f>IF(K98&gt;0,L98/K98,"")</f>
      </c>
      <c r="N98" s="10"/>
      <c r="O98" s="11"/>
      <c r="P98" s="12"/>
      <c r="S98" s="9"/>
      <c r="T98" s="9"/>
      <c r="U98" s="9"/>
      <c r="V98" s="9"/>
    </row>
    <row r="99">
      <c r="A99" s="9" t="s">
        <v>16</v>
      </c>
      <c r="B99" s="10"/>
      <c r="C99" s="11"/>
      <c r="D99" s="12"/>
      <c r="E99" s="10"/>
      <c r="F99" s="11"/>
      <c r="G99" s="12"/>
      <c r="H99" s="10"/>
      <c r="I99" s="11"/>
      <c r="J99" s="12"/>
      <c r="K99" s="10"/>
      <c r="L99" s="11"/>
      <c r="M99" s="12"/>
      <c r="N99" s="10"/>
      <c r="O99" s="11"/>
      <c r="P99" s="12"/>
      <c r="S99" s="9"/>
      <c r="T99" s="9"/>
      <c r="U99" s="9"/>
      <c r="V99" s="9"/>
    </row>
    <row r="100">
      <c r="A100" s="9" t="s">
        <v>17</v>
      </c>
      <c r="B100" s="10"/>
      <c r="C100" s="11"/>
      <c r="D100" s="12"/>
      <c r="E100" s="10"/>
      <c r="F100" s="11"/>
      <c r="G100" s="12"/>
      <c r="H100" s="10"/>
      <c r="I100" s="11"/>
      <c r="J100" s="12"/>
      <c r="K100" s="10"/>
      <c r="L100" s="11"/>
      <c r="M100" s="12"/>
      <c r="N100" s="10"/>
      <c r="O100" s="11"/>
      <c r="P100" s="12"/>
      <c r="S100" s="9"/>
      <c r="T100" s="9"/>
      <c r="U100" s="9"/>
      <c r="V100" s="9"/>
    </row>
    <row r="101">
      <c r="A101" s="9" t="s">
        <v>18</v>
      </c>
      <c r="B101" s="10"/>
      <c r="C101" s="11"/>
      <c r="D101" s="12"/>
      <c r="E101" s="10"/>
      <c r="F101" s="11"/>
      <c r="G101" s="12"/>
      <c r="H101" s="10"/>
      <c r="I101" s="11"/>
      <c r="J101" s="12"/>
      <c r="K101" s="10"/>
      <c r="L101" s="11"/>
      <c r="M101" s="12"/>
      <c r="N101" s="10"/>
      <c r="O101" s="11"/>
      <c r="P101" s="12"/>
      <c r="S101" s="9"/>
      <c r="T101" s="9"/>
      <c r="U101" s="9"/>
      <c r="V101" s="9"/>
    </row>
    <row r="102">
      <c r="A102" s="9" t="s">
        <v>19</v>
      </c>
      <c r="B102" s="10"/>
      <c r="C102" s="11"/>
      <c r="D102" s="12"/>
      <c r="E102" s="10"/>
      <c r="F102" s="11"/>
      <c r="G102" s="12"/>
      <c r="H102" s="10"/>
      <c r="I102" s="11"/>
      <c r="J102" s="12"/>
      <c r="K102" s="10"/>
      <c r="L102" s="11"/>
      <c r="M102" s="12"/>
      <c r="N102" s="10"/>
      <c r="O102" s="11"/>
      <c r="P102" s="12"/>
      <c r="S102" s="9"/>
      <c r="T102" s="9"/>
      <c r="U102" s="9"/>
      <c r="V102" s="9"/>
    </row>
    <row r="103">
      <c r="A103" s="5" t="s">
        <v>30</v>
      </c>
      <c r="B103" s="6">
        <f>SUM(B104:B111)</f>
      </c>
      <c r="C103" s="7">
        <f>SUM(C104:C111)</f>
      </c>
      <c r="D103" s="8">
        <f>IF(B103&gt;0,C103/B103,"")</f>
      </c>
      <c r="E103" s="6">
        <f>SUM(E104:E111)</f>
      </c>
      <c r="F103" s="7">
        <f>SUM(F104:F111)</f>
      </c>
      <c r="G103" s="8">
        <f>IF(E103&gt;0,F103/E103,"")</f>
      </c>
      <c r="H103" s="6">
        <f>SUM(H104:H111)</f>
      </c>
      <c r="I103" s="7">
        <f>SUM(I104:I111)</f>
      </c>
      <c r="J103" s="8">
        <f>IF(H103&gt;0,I103/H103,"")</f>
      </c>
      <c r="K103" s="6">
        <f>SUM(K104:K111)</f>
      </c>
      <c r="L103" s="7">
        <f>SUM(L104:L111)</f>
      </c>
      <c r="M103" s="8">
        <f>IF(K103&gt;0,L103/K103,"")</f>
      </c>
      <c r="N103" s="6">
        <f>SUM(N104:N111)</f>
      </c>
      <c r="O103" s="7">
        <f>SUM(O104:O111)</f>
      </c>
      <c r="P103" s="8">
        <f>IF(N103&gt;0,O103/N103,"")</f>
      </c>
      <c r="S103" s="14">
        <f>IF(B103&gt;0,C103/B103,"")</f>
      </c>
      <c r="T103" s="14">
        <f>IF(E103&gt;0,F103/E103,"")</f>
      </c>
      <c r="U103" s="14">
        <f>IF((H103+K103)&gt;0,(I103+L103)/(H103+K103),"")</f>
      </c>
      <c r="V103" s="14">
        <f>IF(N103&gt;0,O103/N103,"")</f>
      </c>
    </row>
    <row r="104">
      <c r="A104" s="9" t="s">
        <v>12</v>
      </c>
      <c r="B104" s="10"/>
      <c r="C104" s="11"/>
      <c r="D104" s="12"/>
      <c r="E104" s="10">
        <v>2.61</v>
      </c>
      <c r="F104" s="11">
        <v>245.34</v>
      </c>
      <c r="G104" s="12">
        <f>IF(E104&gt;0,F104/E104,"")</f>
      </c>
      <c r="H104" s="10"/>
      <c r="I104" s="11"/>
      <c r="J104" s="12"/>
      <c r="K104" s="10"/>
      <c r="L104" s="11"/>
      <c r="M104" s="12"/>
      <c r="N104" s="10"/>
      <c r="O104" s="11"/>
      <c r="P104" s="12"/>
      <c r="S104" s="9"/>
      <c r="T104" s="9"/>
      <c r="U104" s="9"/>
      <c r="V104" s="9"/>
    </row>
    <row r="105">
      <c r="A105" s="9" t="s">
        <v>13</v>
      </c>
      <c r="B105" s="10"/>
      <c r="C105" s="11"/>
      <c r="D105" s="12"/>
      <c r="E105" s="10"/>
      <c r="F105" s="11"/>
      <c r="G105" s="12"/>
      <c r="H105" s="10"/>
      <c r="I105" s="11"/>
      <c r="J105" s="12"/>
      <c r="K105" s="10"/>
      <c r="L105" s="11"/>
      <c r="M105" s="12"/>
      <c r="N105" s="10"/>
      <c r="O105" s="11"/>
      <c r="P105" s="12"/>
      <c r="S105" s="9"/>
      <c r="T105" s="9"/>
      <c r="U105" s="9"/>
      <c r="V105" s="9"/>
    </row>
    <row r="106">
      <c r="A106" s="9" t="s">
        <v>14</v>
      </c>
      <c r="B106" s="10"/>
      <c r="C106" s="11"/>
      <c r="D106" s="12"/>
      <c r="E106" s="10"/>
      <c r="F106" s="11"/>
      <c r="G106" s="12"/>
      <c r="H106" s="10"/>
      <c r="I106" s="11"/>
      <c r="J106" s="12"/>
      <c r="K106" s="10"/>
      <c r="L106" s="11"/>
      <c r="M106" s="12"/>
      <c r="N106" s="10"/>
      <c r="O106" s="11"/>
      <c r="P106" s="12"/>
      <c r="S106" s="9"/>
      <c r="T106" s="9"/>
      <c r="U106" s="9"/>
      <c r="V106" s="9"/>
    </row>
    <row r="107">
      <c r="A107" s="9" t="s">
        <v>15</v>
      </c>
      <c r="B107" s="10"/>
      <c r="C107" s="11"/>
      <c r="D107" s="12"/>
      <c r="E107" s="10"/>
      <c r="F107" s="11"/>
      <c r="G107" s="12"/>
      <c r="H107" s="10"/>
      <c r="I107" s="11"/>
      <c r="J107" s="12"/>
      <c r="K107" s="10"/>
      <c r="L107" s="11"/>
      <c r="M107" s="12"/>
      <c r="N107" s="10"/>
      <c r="O107" s="11"/>
      <c r="P107" s="12"/>
      <c r="S107" s="9"/>
      <c r="T107" s="9"/>
      <c r="U107" s="9"/>
      <c r="V107" s="9"/>
    </row>
    <row r="108">
      <c r="A108" s="9" t="s">
        <v>16</v>
      </c>
      <c r="B108" s="10"/>
      <c r="C108" s="11"/>
      <c r="D108" s="12"/>
      <c r="E108" s="10"/>
      <c r="F108" s="11"/>
      <c r="G108" s="12"/>
      <c r="H108" s="10"/>
      <c r="I108" s="11"/>
      <c r="J108" s="12"/>
      <c r="K108" s="10"/>
      <c r="L108" s="11"/>
      <c r="M108" s="12"/>
      <c r="N108" s="10"/>
      <c r="O108" s="11"/>
      <c r="P108" s="12"/>
      <c r="S108" s="9"/>
      <c r="T108" s="9"/>
      <c r="U108" s="9"/>
      <c r="V108" s="9"/>
    </row>
    <row r="109">
      <c r="A109" s="9" t="s">
        <v>17</v>
      </c>
      <c r="B109" s="10"/>
      <c r="C109" s="11"/>
      <c r="D109" s="12"/>
      <c r="E109" s="10"/>
      <c r="F109" s="11"/>
      <c r="G109" s="12"/>
      <c r="H109" s="10"/>
      <c r="I109" s="11"/>
      <c r="J109" s="12"/>
      <c r="K109" s="10"/>
      <c r="L109" s="11"/>
      <c r="M109" s="12"/>
      <c r="N109" s="10"/>
      <c r="O109" s="11"/>
      <c r="P109" s="12"/>
      <c r="S109" s="9"/>
      <c r="T109" s="9"/>
      <c r="U109" s="9"/>
      <c r="V109" s="9"/>
    </row>
    <row r="110">
      <c r="A110" s="9" t="s">
        <v>18</v>
      </c>
      <c r="B110" s="10"/>
      <c r="C110" s="11"/>
      <c r="D110" s="12"/>
      <c r="E110" s="10"/>
      <c r="F110" s="11"/>
      <c r="G110" s="12"/>
      <c r="H110" s="10"/>
      <c r="I110" s="11"/>
      <c r="J110" s="12"/>
      <c r="K110" s="10"/>
      <c r="L110" s="11"/>
      <c r="M110" s="12"/>
      <c r="N110" s="10"/>
      <c r="O110" s="11"/>
      <c r="P110" s="12"/>
      <c r="S110" s="9"/>
      <c r="T110" s="9"/>
      <c r="U110" s="9"/>
      <c r="V110" s="9"/>
    </row>
    <row r="111">
      <c r="A111" s="9" t="s">
        <v>19</v>
      </c>
      <c r="B111" s="10"/>
      <c r="C111" s="11"/>
      <c r="D111" s="12"/>
      <c r="E111" s="10"/>
      <c r="F111" s="11"/>
      <c r="G111" s="12"/>
      <c r="H111" s="10"/>
      <c r="I111" s="11"/>
      <c r="J111" s="12"/>
      <c r="K111" s="10"/>
      <c r="L111" s="11"/>
      <c r="M111" s="12"/>
      <c r="N111" s="10"/>
      <c r="O111" s="11"/>
      <c r="P111" s="12"/>
      <c r="S111" s="9"/>
      <c r="T111" s="9"/>
      <c r="U111" s="9"/>
      <c r="V111" s="9"/>
    </row>
    <row r="112">
      <c r="A112" s="5" t="s">
        <v>31</v>
      </c>
      <c r="B112" s="6">
        <f>SUM(B113:B120)</f>
      </c>
      <c r="C112" s="7">
        <f>SUM(C113:C120)</f>
      </c>
      <c r="D112" s="8">
        <f>IF(B112&gt;0,C112/B112,"")</f>
      </c>
      <c r="E112" s="6">
        <f>SUM(E113:E120)</f>
      </c>
      <c r="F112" s="7">
        <f>SUM(F113:F120)</f>
      </c>
      <c r="G112" s="8">
        <f>IF(E112&gt;0,F112/E112,"")</f>
      </c>
      <c r="H112" s="6">
        <f>SUM(H113:H120)</f>
      </c>
      <c r="I112" s="7">
        <f>SUM(I113:I120)</f>
      </c>
      <c r="J112" s="8">
        <f>IF(H112&gt;0,I112/H112,"")</f>
      </c>
      <c r="K112" s="6">
        <f>SUM(K113:K120)</f>
      </c>
      <c r="L112" s="7">
        <f>SUM(L113:L120)</f>
      </c>
      <c r="M112" s="8">
        <f>IF(K112&gt;0,L112/K112,"")</f>
      </c>
      <c r="N112" s="6">
        <f>SUM(N113:N120)</f>
      </c>
      <c r="O112" s="7">
        <f>SUM(O113:O120)</f>
      </c>
      <c r="P112" s="8">
        <f>IF(N112&gt;0,O112/N112,"")</f>
      </c>
      <c r="S112" s="14">
        <f>IF(B112&gt;0,C112/B112,"")</f>
      </c>
      <c r="T112" s="14">
        <f>IF(E112&gt;0,F112/E112,"")</f>
      </c>
      <c r="U112" s="14">
        <f>IF((H112+K112)&gt;0,(I112+L112)/(H112+K112),"")</f>
      </c>
      <c r="V112" s="14">
        <f>IF(N112&gt;0,O112/N112,"")</f>
      </c>
    </row>
    <row r="113">
      <c r="A113" s="9" t="s">
        <v>12</v>
      </c>
      <c r="B113" s="10"/>
      <c r="C113" s="11"/>
      <c r="D113" s="12"/>
      <c r="E113" s="10">
        <v>6.15</v>
      </c>
      <c r="F113" s="11">
        <v>639.6</v>
      </c>
      <c r="G113" s="12">
        <f>IF(E113&gt;0,F113/E113,"")</f>
      </c>
      <c r="H113" s="10">
        <v>15.24</v>
      </c>
      <c r="I113" s="11">
        <v>1676.14</v>
      </c>
      <c r="J113" s="12">
        <f>IF(H113&gt;0,I113/H113,"")</f>
      </c>
      <c r="K113" s="10">
        <v>6.01</v>
      </c>
      <c r="L113" s="11">
        <v>546.91</v>
      </c>
      <c r="M113" s="12">
        <f>IF(K113&gt;0,L113/K113,"")</f>
      </c>
      <c r="N113" s="10"/>
      <c r="O113" s="11"/>
      <c r="P113" s="12"/>
      <c r="S113" s="9"/>
      <c r="T113" s="9"/>
      <c r="U113" s="9"/>
      <c r="V113" s="9"/>
    </row>
    <row r="114">
      <c r="A114" s="9" t="s">
        <v>13</v>
      </c>
      <c r="B114" s="10"/>
      <c r="C114" s="11"/>
      <c r="D114" s="12"/>
      <c r="E114" s="10">
        <v>24.28</v>
      </c>
      <c r="F114" s="11">
        <v>2849.85</v>
      </c>
      <c r="G114" s="12">
        <f>IF(E114&gt;0,F114/E114,"")</f>
      </c>
      <c r="H114" s="10">
        <v>76.74</v>
      </c>
      <c r="I114" s="11">
        <v>6929.76</v>
      </c>
      <c r="J114" s="12">
        <f>IF(H114&gt;0,I114/H114,"")</f>
      </c>
      <c r="K114" s="10">
        <v>3.09</v>
      </c>
      <c r="L114" s="11">
        <v>386.25</v>
      </c>
      <c r="M114" s="12">
        <f>IF(K114&gt;0,L114/K114,"")</f>
      </c>
      <c r="N114" s="10"/>
      <c r="O114" s="11"/>
      <c r="P114" s="12"/>
      <c r="S114" s="9"/>
      <c r="T114" s="9"/>
      <c r="U114" s="9"/>
      <c r="V114" s="9"/>
    </row>
    <row r="115">
      <c r="A115" s="9" t="s">
        <v>14</v>
      </c>
      <c r="B115" s="10"/>
      <c r="C115" s="11"/>
      <c r="D115" s="12"/>
      <c r="E115" s="10">
        <v>54.35</v>
      </c>
      <c r="F115" s="11">
        <v>4351.06</v>
      </c>
      <c r="G115" s="12">
        <f>IF(E115&gt;0,F115/E115,"")</f>
      </c>
      <c r="H115" s="10">
        <v>24.38</v>
      </c>
      <c r="I115" s="11">
        <v>2554</v>
      </c>
      <c r="J115" s="12">
        <f>IF(H115&gt;0,I115/H115,"")</f>
      </c>
      <c r="K115" s="10">
        <v>3.09</v>
      </c>
      <c r="L115" s="11">
        <v>386.25</v>
      </c>
      <c r="M115" s="12">
        <f>IF(K115&gt;0,L115/K115,"")</f>
      </c>
      <c r="N115" s="10"/>
      <c r="O115" s="11"/>
      <c r="P115" s="12"/>
      <c r="S115" s="9"/>
      <c r="T115" s="9"/>
      <c r="U115" s="9"/>
      <c r="V115" s="9"/>
    </row>
    <row r="116">
      <c r="A116" s="9" t="s">
        <v>15</v>
      </c>
      <c r="B116" s="10"/>
      <c r="C116" s="11"/>
      <c r="D116" s="12"/>
      <c r="E116" s="10">
        <v>6.06</v>
      </c>
      <c r="F116" s="11">
        <v>562.3</v>
      </c>
      <c r="G116" s="12">
        <f>IF(E116&gt;0,F116/E116,"")</f>
      </c>
      <c r="H116" s="10">
        <v>12.14</v>
      </c>
      <c r="I116" s="11">
        <v>1108.05</v>
      </c>
      <c r="J116" s="12">
        <f>IF(H116&gt;0,I116/H116,"")</f>
      </c>
      <c r="K116" s="10">
        <v>9.12</v>
      </c>
      <c r="L116" s="11">
        <v>746.63</v>
      </c>
      <c r="M116" s="12">
        <f>IF(K116&gt;0,L116/K116,"")</f>
      </c>
      <c r="N116" s="10"/>
      <c r="O116" s="11"/>
      <c r="P116" s="12"/>
      <c r="S116" s="9"/>
      <c r="T116" s="9"/>
      <c r="U116" s="9"/>
      <c r="V116" s="9"/>
    </row>
    <row r="117">
      <c r="A117" s="9" t="s">
        <v>16</v>
      </c>
      <c r="B117" s="10"/>
      <c r="C117" s="11"/>
      <c r="D117" s="12"/>
      <c r="E117" s="10"/>
      <c r="F117" s="11"/>
      <c r="G117" s="12"/>
      <c r="H117" s="10"/>
      <c r="I117" s="11"/>
      <c r="J117" s="12"/>
      <c r="K117" s="10"/>
      <c r="L117" s="11"/>
      <c r="M117" s="12"/>
      <c r="N117" s="10"/>
      <c r="O117" s="11"/>
      <c r="P117" s="12"/>
      <c r="S117" s="9"/>
      <c r="T117" s="9"/>
      <c r="U117" s="9"/>
      <c r="V117" s="9"/>
    </row>
    <row r="118">
      <c r="A118" s="9" t="s">
        <v>17</v>
      </c>
      <c r="B118" s="10"/>
      <c r="C118" s="11"/>
      <c r="D118" s="12"/>
      <c r="E118" s="10"/>
      <c r="F118" s="11"/>
      <c r="G118" s="12"/>
      <c r="H118" s="10"/>
      <c r="I118" s="11"/>
      <c r="J118" s="12"/>
      <c r="K118" s="10"/>
      <c r="L118" s="11"/>
      <c r="M118" s="12"/>
      <c r="N118" s="10"/>
      <c r="O118" s="11"/>
      <c r="P118" s="12"/>
      <c r="S118" s="9"/>
      <c r="T118" s="9"/>
      <c r="U118" s="9"/>
      <c r="V118" s="9"/>
    </row>
    <row r="119">
      <c r="A119" s="9" t="s">
        <v>18</v>
      </c>
      <c r="B119" s="10"/>
      <c r="C119" s="11"/>
      <c r="D119" s="12"/>
      <c r="E119" s="10"/>
      <c r="F119" s="11"/>
      <c r="G119" s="12"/>
      <c r="H119" s="10"/>
      <c r="I119" s="11"/>
      <c r="J119" s="12"/>
      <c r="K119" s="10"/>
      <c r="L119" s="11"/>
      <c r="M119" s="12"/>
      <c r="N119" s="10"/>
      <c r="O119" s="11"/>
      <c r="P119" s="12"/>
      <c r="S119" s="9"/>
      <c r="T119" s="9"/>
      <c r="U119" s="9"/>
      <c r="V119" s="9"/>
    </row>
    <row r="120">
      <c r="A120" s="9" t="s">
        <v>19</v>
      </c>
      <c r="B120" s="10"/>
      <c r="C120" s="11"/>
      <c r="D120" s="12"/>
      <c r="E120" s="10"/>
      <c r="F120" s="11"/>
      <c r="G120" s="12"/>
      <c r="H120" s="10"/>
      <c r="I120" s="11"/>
      <c r="J120" s="12"/>
      <c r="K120" s="10"/>
      <c r="L120" s="11"/>
      <c r="M120" s="12"/>
      <c r="N120" s="10"/>
      <c r="O120" s="11"/>
      <c r="P120" s="12"/>
      <c r="S120" s="9"/>
      <c r="T120" s="9"/>
      <c r="U120" s="9"/>
      <c r="V120" s="9"/>
    </row>
    <row r="121">
      <c r="A121" s="5" t="s">
        <v>32</v>
      </c>
      <c r="B121" s="6">
        <f>SUM(B122:B129)</f>
      </c>
      <c r="C121" s="7">
        <f>SUM(C122:C129)</f>
      </c>
      <c r="D121" s="8">
        <f>IF(B121&gt;0,C121/B121,"")</f>
      </c>
      <c r="E121" s="6">
        <f>SUM(E122:E129)</f>
      </c>
      <c r="F121" s="7">
        <f>SUM(F122:F129)</f>
      </c>
      <c r="G121" s="8">
        <f>IF(E121&gt;0,F121/E121,"")</f>
      </c>
      <c r="H121" s="6">
        <f>SUM(H122:H129)</f>
      </c>
      <c r="I121" s="7">
        <f>SUM(I122:I129)</f>
      </c>
      <c r="J121" s="8">
        <f>IF(H121&gt;0,I121/H121,"")</f>
      </c>
      <c r="K121" s="6">
        <f>SUM(K122:K129)</f>
      </c>
      <c r="L121" s="7">
        <f>SUM(L122:L129)</f>
      </c>
      <c r="M121" s="8">
        <f>IF(K121&gt;0,L121/K121,"")</f>
      </c>
      <c r="N121" s="6">
        <f>SUM(N122:N129)</f>
      </c>
      <c r="O121" s="7">
        <f>SUM(O122:O129)</f>
      </c>
      <c r="P121" s="8">
        <f>IF(N121&gt;0,O121/N121,"")</f>
      </c>
      <c r="S121" s="14">
        <f>IF(B121&gt;0,C121/B121,"")</f>
      </c>
      <c r="T121" s="14">
        <f>IF(E121&gt;0,F121/E121,"")</f>
      </c>
      <c r="U121" s="14">
        <f>IF((H121+K121)&gt;0,(I121+L121)/(H121+K121),"")</f>
      </c>
      <c r="V121" s="14">
        <f>IF(N121&gt;0,O121/N121,"")</f>
      </c>
    </row>
    <row r="122">
      <c r="A122" s="9" t="s">
        <v>12</v>
      </c>
      <c r="B122" s="10"/>
      <c r="C122" s="11"/>
      <c r="D122" s="12"/>
      <c r="E122" s="10"/>
      <c r="F122" s="11"/>
      <c r="G122" s="12"/>
      <c r="H122" s="10"/>
      <c r="I122" s="11"/>
      <c r="J122" s="12"/>
      <c r="K122" s="10"/>
      <c r="L122" s="11"/>
      <c r="M122" s="12"/>
      <c r="N122" s="10"/>
      <c r="O122" s="11"/>
      <c r="P122" s="12"/>
      <c r="S122" s="9"/>
      <c r="T122" s="9"/>
      <c r="U122" s="9"/>
      <c r="V122" s="9"/>
    </row>
    <row r="123">
      <c r="A123" s="9" t="s">
        <v>13</v>
      </c>
      <c r="B123" s="10"/>
      <c r="C123" s="11"/>
      <c r="D123" s="12"/>
      <c r="E123" s="10"/>
      <c r="F123" s="11"/>
      <c r="G123" s="12"/>
      <c r="H123" s="10">
        <v>3.15</v>
      </c>
      <c r="I123" s="11">
        <v>415.8</v>
      </c>
      <c r="J123" s="12">
        <f>IF(H123&gt;0,I123/H123,"")</f>
      </c>
      <c r="K123" s="10">
        <v>3.47</v>
      </c>
      <c r="L123" s="11">
        <v>399.05</v>
      </c>
      <c r="M123" s="12">
        <f>IF(K123&gt;0,L123/K123,"")</f>
      </c>
      <c r="N123" s="10"/>
      <c r="O123" s="11"/>
      <c r="P123" s="12"/>
      <c r="S123" s="9"/>
      <c r="T123" s="9"/>
      <c r="U123" s="9"/>
      <c r="V123" s="9"/>
    </row>
    <row r="124">
      <c r="A124" s="9" t="s">
        <v>14</v>
      </c>
      <c r="B124" s="10"/>
      <c r="C124" s="11"/>
      <c r="D124" s="12"/>
      <c r="E124" s="10"/>
      <c r="F124" s="11"/>
      <c r="G124" s="12"/>
      <c r="H124" s="10">
        <v>3.35</v>
      </c>
      <c r="I124" s="11">
        <v>492.45</v>
      </c>
      <c r="J124" s="12">
        <f>IF(H124&gt;0,I124/H124,"")</f>
      </c>
      <c r="K124" s="10"/>
      <c r="L124" s="11"/>
      <c r="M124" s="12"/>
      <c r="N124" s="10"/>
      <c r="O124" s="11"/>
      <c r="P124" s="12"/>
      <c r="S124" s="9"/>
      <c r="T124" s="9"/>
      <c r="U124" s="9"/>
      <c r="V124" s="9"/>
    </row>
    <row r="125">
      <c r="A125" s="9" t="s">
        <v>15</v>
      </c>
      <c r="B125" s="10"/>
      <c r="C125" s="11"/>
      <c r="D125" s="12"/>
      <c r="E125" s="10"/>
      <c r="F125" s="11"/>
      <c r="G125" s="12"/>
      <c r="H125" s="10"/>
      <c r="I125" s="11"/>
      <c r="J125" s="12"/>
      <c r="K125" s="10"/>
      <c r="L125" s="11"/>
      <c r="M125" s="12"/>
      <c r="N125" s="10"/>
      <c r="O125" s="11"/>
      <c r="P125" s="12"/>
      <c r="S125" s="9"/>
      <c r="T125" s="9"/>
      <c r="U125" s="9"/>
      <c r="V125" s="9"/>
    </row>
    <row r="126">
      <c r="A126" s="9" t="s">
        <v>16</v>
      </c>
      <c r="B126" s="10"/>
      <c r="C126" s="11"/>
      <c r="D126" s="12"/>
      <c r="E126" s="10"/>
      <c r="F126" s="11"/>
      <c r="G126" s="12"/>
      <c r="H126" s="10"/>
      <c r="I126" s="11"/>
      <c r="J126" s="12"/>
      <c r="K126" s="10"/>
      <c r="L126" s="11"/>
      <c r="M126" s="12"/>
      <c r="N126" s="10"/>
      <c r="O126" s="11"/>
      <c r="P126" s="12"/>
      <c r="S126" s="9"/>
      <c r="T126" s="9"/>
      <c r="U126" s="9"/>
      <c r="V126" s="9"/>
    </row>
    <row r="127">
      <c r="A127" s="9" t="s">
        <v>17</v>
      </c>
      <c r="B127" s="10"/>
      <c r="C127" s="11"/>
      <c r="D127" s="12"/>
      <c r="E127" s="10"/>
      <c r="F127" s="11"/>
      <c r="G127" s="12"/>
      <c r="H127" s="10"/>
      <c r="I127" s="11"/>
      <c r="J127" s="12"/>
      <c r="K127" s="10"/>
      <c r="L127" s="11"/>
      <c r="M127" s="12"/>
      <c r="N127" s="10"/>
      <c r="O127" s="11"/>
      <c r="P127" s="12"/>
      <c r="S127" s="9"/>
      <c r="T127" s="9"/>
      <c r="U127" s="9"/>
      <c r="V127" s="9"/>
    </row>
    <row r="128">
      <c r="A128" s="9" t="s">
        <v>18</v>
      </c>
      <c r="B128" s="10"/>
      <c r="C128" s="11"/>
      <c r="D128" s="12"/>
      <c r="E128" s="10"/>
      <c r="F128" s="11"/>
      <c r="G128" s="12"/>
      <c r="H128" s="10"/>
      <c r="I128" s="11"/>
      <c r="J128" s="12"/>
      <c r="K128" s="10"/>
      <c r="L128" s="11"/>
      <c r="M128" s="12"/>
      <c r="N128" s="10"/>
      <c r="O128" s="11"/>
      <c r="P128" s="12"/>
      <c r="S128" s="9"/>
      <c r="T128" s="9"/>
      <c r="U128" s="9"/>
      <c r="V128" s="9"/>
    </row>
    <row r="129">
      <c r="A129" s="9" t="s">
        <v>19</v>
      </c>
      <c r="B129" s="10"/>
      <c r="C129" s="11"/>
      <c r="D129" s="12"/>
      <c r="E129" s="10"/>
      <c r="F129" s="11"/>
      <c r="G129" s="12"/>
      <c r="H129" s="10"/>
      <c r="I129" s="11"/>
      <c r="J129" s="12"/>
      <c r="K129" s="10"/>
      <c r="L129" s="11"/>
      <c r="M129" s="12"/>
      <c r="N129" s="10"/>
      <c r="O129" s="11"/>
      <c r="P129" s="12"/>
      <c r="S129" s="9"/>
      <c r="T129" s="9"/>
      <c r="U129" s="9"/>
      <c r="V129" s="9"/>
    </row>
    <row r="130">
      <c r="A130" s="5" t="s">
        <v>33</v>
      </c>
      <c r="B130" s="6">
        <f>SUM(B131:B138)</f>
      </c>
      <c r="C130" s="7">
        <f>SUM(C131:C138)</f>
      </c>
      <c r="D130" s="8">
        <f>IF(B130&gt;0,C130/B130,"")</f>
      </c>
      <c r="E130" s="6">
        <f>SUM(E131:E138)</f>
      </c>
      <c r="F130" s="7">
        <f>SUM(F131:F138)</f>
      </c>
      <c r="G130" s="8">
        <f>IF(E130&gt;0,F130/E130,"")</f>
      </c>
      <c r="H130" s="6">
        <f>SUM(H131:H138)</f>
      </c>
      <c r="I130" s="7">
        <f>SUM(I131:I138)</f>
      </c>
      <c r="J130" s="8">
        <f>IF(H130&gt;0,I130/H130,"")</f>
      </c>
      <c r="K130" s="6">
        <f>SUM(K131:K138)</f>
      </c>
      <c r="L130" s="7">
        <f>SUM(L131:L138)</f>
      </c>
      <c r="M130" s="8">
        <f>IF(K130&gt;0,L130/K130,"")</f>
      </c>
      <c r="N130" s="6">
        <f>SUM(N131:N138)</f>
      </c>
      <c r="O130" s="7">
        <f>SUM(O131:O138)</f>
      </c>
      <c r="P130" s="8">
        <f>IF(N130&gt;0,O130/N130,"")</f>
      </c>
      <c r="S130" s="14">
        <f>IF(B130&gt;0,C130/B130,"")</f>
      </c>
      <c r="T130" s="14">
        <f>IF(E130&gt;0,F130/E130,"")</f>
      </c>
      <c r="U130" s="14">
        <f>IF((H130+K130)&gt;0,(I130+L130)/(H130+K130),"")</f>
      </c>
      <c r="V130" s="14">
        <f>IF(N130&gt;0,O130/N130,"")</f>
      </c>
    </row>
    <row r="131">
      <c r="A131" s="9" t="s">
        <v>12</v>
      </c>
      <c r="B131" s="10"/>
      <c r="C131" s="11"/>
      <c r="D131" s="12"/>
      <c r="E131" s="10"/>
      <c r="F131" s="11"/>
      <c r="G131" s="12"/>
      <c r="H131" s="10"/>
      <c r="I131" s="11"/>
      <c r="J131" s="12"/>
      <c r="K131" s="10"/>
      <c r="L131" s="11"/>
      <c r="M131" s="12"/>
      <c r="N131" s="10"/>
      <c r="O131" s="11"/>
      <c r="P131" s="12"/>
      <c r="S131" s="9"/>
      <c r="T131" s="9"/>
      <c r="U131" s="9"/>
      <c r="V131" s="9"/>
    </row>
    <row r="132">
      <c r="A132" s="9" t="s">
        <v>13</v>
      </c>
      <c r="B132" s="10"/>
      <c r="C132" s="11"/>
      <c r="D132" s="12"/>
      <c r="E132" s="10"/>
      <c r="F132" s="11"/>
      <c r="G132" s="12"/>
      <c r="H132" s="10">
        <v>3.55</v>
      </c>
      <c r="I132" s="11">
        <v>443.75</v>
      </c>
      <c r="J132" s="12">
        <f>IF(H132&gt;0,I132/H132,"")</f>
      </c>
      <c r="K132" s="10"/>
      <c r="L132" s="11"/>
      <c r="M132" s="12"/>
      <c r="N132" s="10"/>
      <c r="O132" s="11"/>
      <c r="P132" s="12"/>
      <c r="S132" s="9"/>
      <c r="T132" s="9"/>
      <c r="U132" s="9"/>
      <c r="V132" s="9"/>
    </row>
    <row r="133">
      <c r="A133" s="9" t="s">
        <v>14</v>
      </c>
      <c r="B133" s="10"/>
      <c r="C133" s="11"/>
      <c r="D133" s="12"/>
      <c r="E133" s="10"/>
      <c r="F133" s="11"/>
      <c r="G133" s="12"/>
      <c r="H133" s="10">
        <v>3.57</v>
      </c>
      <c r="I133" s="11">
        <v>278.46</v>
      </c>
      <c r="J133" s="12">
        <f>IF(H133&gt;0,I133/H133,"")</f>
      </c>
      <c r="K133" s="10"/>
      <c r="L133" s="11"/>
      <c r="M133" s="12"/>
      <c r="N133" s="10"/>
      <c r="O133" s="11"/>
      <c r="P133" s="12"/>
      <c r="S133" s="9"/>
      <c r="T133" s="9"/>
      <c r="U133" s="9"/>
      <c r="V133" s="9"/>
    </row>
    <row r="134">
      <c r="A134" s="9" t="s">
        <v>15</v>
      </c>
      <c r="B134" s="10"/>
      <c r="C134" s="11"/>
      <c r="D134" s="12"/>
      <c r="E134" s="10"/>
      <c r="F134" s="11"/>
      <c r="G134" s="12"/>
      <c r="H134" s="10"/>
      <c r="I134" s="11"/>
      <c r="J134" s="12"/>
      <c r="K134" s="10"/>
      <c r="L134" s="11"/>
      <c r="M134" s="12"/>
      <c r="N134" s="10"/>
      <c r="O134" s="11"/>
      <c r="P134" s="12"/>
      <c r="S134" s="9"/>
      <c r="T134" s="9"/>
      <c r="U134" s="9"/>
      <c r="V134" s="9"/>
    </row>
    <row r="135">
      <c r="A135" s="9" t="s">
        <v>16</v>
      </c>
      <c r="B135" s="10"/>
      <c r="C135" s="11"/>
      <c r="D135" s="12"/>
      <c r="E135" s="10"/>
      <c r="F135" s="11"/>
      <c r="G135" s="12"/>
      <c r="H135" s="10"/>
      <c r="I135" s="11"/>
      <c r="J135" s="12"/>
      <c r="K135" s="10"/>
      <c r="L135" s="11"/>
      <c r="M135" s="12"/>
      <c r="N135" s="10"/>
      <c r="O135" s="11"/>
      <c r="P135" s="12"/>
      <c r="S135" s="9"/>
      <c r="T135" s="9"/>
      <c r="U135" s="9"/>
      <c r="V135" s="9"/>
    </row>
    <row r="136">
      <c r="A136" s="9" t="s">
        <v>17</v>
      </c>
      <c r="B136" s="10"/>
      <c r="C136" s="11"/>
      <c r="D136" s="12"/>
      <c r="E136" s="10"/>
      <c r="F136" s="11"/>
      <c r="G136" s="12"/>
      <c r="H136" s="10"/>
      <c r="I136" s="11"/>
      <c r="J136" s="12"/>
      <c r="K136" s="10"/>
      <c r="L136" s="11"/>
      <c r="M136" s="12"/>
      <c r="N136" s="10"/>
      <c r="O136" s="11"/>
      <c r="P136" s="12"/>
      <c r="S136" s="9"/>
      <c r="T136" s="9"/>
      <c r="U136" s="9"/>
      <c r="V136" s="9"/>
    </row>
    <row r="137">
      <c r="A137" s="9" t="s">
        <v>18</v>
      </c>
      <c r="B137" s="10"/>
      <c r="C137" s="11"/>
      <c r="D137" s="12"/>
      <c r="E137" s="10"/>
      <c r="F137" s="11"/>
      <c r="G137" s="12"/>
      <c r="H137" s="10"/>
      <c r="I137" s="11"/>
      <c r="J137" s="12"/>
      <c r="K137" s="10"/>
      <c r="L137" s="11"/>
      <c r="M137" s="12"/>
      <c r="N137" s="10"/>
      <c r="O137" s="11"/>
      <c r="P137" s="12"/>
      <c r="S137" s="9"/>
      <c r="T137" s="9"/>
      <c r="U137" s="9"/>
      <c r="V137" s="9"/>
    </row>
    <row r="138">
      <c r="A138" s="9" t="s">
        <v>19</v>
      </c>
      <c r="B138" s="10"/>
      <c r="C138" s="11"/>
      <c r="D138" s="12"/>
      <c r="E138" s="10"/>
      <c r="F138" s="11"/>
      <c r="G138" s="12"/>
      <c r="H138" s="10"/>
      <c r="I138" s="11"/>
      <c r="J138" s="12"/>
      <c r="K138" s="10"/>
      <c r="L138" s="11"/>
      <c r="M138" s="12"/>
      <c r="N138" s="10"/>
      <c r="O138" s="11"/>
      <c r="P138" s="12"/>
      <c r="S138" s="9"/>
      <c r="T138" s="9"/>
      <c r="U138" s="9"/>
      <c r="V138" s="9"/>
    </row>
    <row r="139">
      <c r="A139" s="5" t="s">
        <v>34</v>
      </c>
      <c r="B139" s="6">
        <f>SUM(B140:B147)</f>
      </c>
      <c r="C139" s="7">
        <f>SUM(C140:C147)</f>
      </c>
      <c r="D139" s="8">
        <f>IF(B139&gt;0,C139/B139,"")</f>
      </c>
      <c r="E139" s="6">
        <f>SUM(E140:E147)</f>
      </c>
      <c r="F139" s="7">
        <f>SUM(F140:F147)</f>
      </c>
      <c r="G139" s="8">
        <f>IF(E139&gt;0,F139/E139,"")</f>
      </c>
      <c r="H139" s="6">
        <f>SUM(H140:H147)</f>
      </c>
      <c r="I139" s="7">
        <f>SUM(I140:I147)</f>
      </c>
      <c r="J139" s="8">
        <f>IF(H139&gt;0,I139/H139,"")</f>
      </c>
      <c r="K139" s="6">
        <f>SUM(K140:K147)</f>
      </c>
      <c r="L139" s="7">
        <f>SUM(L140:L147)</f>
      </c>
      <c r="M139" s="8">
        <f>IF(K139&gt;0,L139/K139,"")</f>
      </c>
      <c r="N139" s="6">
        <f>SUM(N140:N147)</f>
      </c>
      <c r="O139" s="7">
        <f>SUM(O140:O147)</f>
      </c>
      <c r="P139" s="8">
        <f>IF(N139&gt;0,O139/N139,"")</f>
      </c>
      <c r="S139" s="14">
        <f>IF(B139&gt;0,C139/B139,"")</f>
      </c>
      <c r="T139" s="14">
        <f>IF(E139&gt;0,F139/E139,"")</f>
      </c>
      <c r="U139" s="14">
        <f>IF((H139+K139)&gt;0,(I139+L139)/(H139+K139),"")</f>
      </c>
      <c r="V139" s="14">
        <f>IF(N139&gt;0,O139/N139,"")</f>
      </c>
    </row>
    <row r="140">
      <c r="A140" s="9" t="s">
        <v>12</v>
      </c>
      <c r="B140" s="10"/>
      <c r="C140" s="11"/>
      <c r="D140" s="12"/>
      <c r="E140" s="10"/>
      <c r="F140" s="11"/>
      <c r="G140" s="12"/>
      <c r="H140" s="10"/>
      <c r="I140" s="11"/>
      <c r="J140" s="12"/>
      <c r="K140" s="10"/>
      <c r="L140" s="11"/>
      <c r="M140" s="12"/>
      <c r="N140" s="10"/>
      <c r="O140" s="11"/>
      <c r="P140" s="12"/>
      <c r="S140" s="9"/>
      <c r="T140" s="9"/>
      <c r="U140" s="9"/>
      <c r="V140" s="9"/>
    </row>
    <row r="141">
      <c r="A141" s="9" t="s">
        <v>13</v>
      </c>
      <c r="B141" s="10"/>
      <c r="C141" s="11"/>
      <c r="D141" s="12"/>
      <c r="E141" s="10"/>
      <c r="F141" s="11"/>
      <c r="G141" s="12"/>
      <c r="H141" s="10"/>
      <c r="I141" s="11"/>
      <c r="J141" s="12"/>
      <c r="K141" s="10"/>
      <c r="L141" s="11"/>
      <c r="M141" s="12"/>
      <c r="N141" s="10"/>
      <c r="O141" s="11"/>
      <c r="P141" s="12"/>
      <c r="S141" s="9"/>
      <c r="T141" s="9"/>
      <c r="U141" s="9"/>
      <c r="V141" s="9"/>
    </row>
    <row r="142">
      <c r="A142" s="9" t="s">
        <v>14</v>
      </c>
      <c r="B142" s="10"/>
      <c r="C142" s="11"/>
      <c r="D142" s="12"/>
      <c r="E142" s="10"/>
      <c r="F142" s="11"/>
      <c r="G142" s="12"/>
      <c r="H142" s="10"/>
      <c r="I142" s="11"/>
      <c r="J142" s="12"/>
      <c r="K142" s="10"/>
      <c r="L142" s="11"/>
      <c r="M142" s="12"/>
      <c r="N142" s="10"/>
      <c r="O142" s="11"/>
      <c r="P142" s="12"/>
      <c r="S142" s="9"/>
      <c r="T142" s="9"/>
      <c r="U142" s="9"/>
      <c r="V142" s="9"/>
    </row>
    <row r="143">
      <c r="A143" s="9" t="s">
        <v>15</v>
      </c>
      <c r="B143" s="10"/>
      <c r="C143" s="11"/>
      <c r="D143" s="12"/>
      <c r="E143" s="10"/>
      <c r="F143" s="11"/>
      <c r="G143" s="12"/>
      <c r="H143" s="10">
        <v>3.74</v>
      </c>
      <c r="I143" s="11">
        <v>411.4</v>
      </c>
      <c r="J143" s="12">
        <f>IF(H143&gt;0,I143/H143,"")</f>
      </c>
      <c r="K143" s="10"/>
      <c r="L143" s="11"/>
      <c r="M143" s="12"/>
      <c r="N143" s="10"/>
      <c r="O143" s="11"/>
      <c r="P143" s="12"/>
      <c r="S143" s="9"/>
      <c r="T143" s="9"/>
      <c r="U143" s="9"/>
      <c r="V143" s="9"/>
    </row>
    <row r="144">
      <c r="A144" s="9" t="s">
        <v>16</v>
      </c>
      <c r="B144" s="10"/>
      <c r="C144" s="11"/>
      <c r="D144" s="12"/>
      <c r="E144" s="10"/>
      <c r="F144" s="11"/>
      <c r="G144" s="12"/>
      <c r="H144" s="10"/>
      <c r="I144" s="11"/>
      <c r="J144" s="12"/>
      <c r="K144" s="10"/>
      <c r="L144" s="11"/>
      <c r="M144" s="12"/>
      <c r="N144" s="10"/>
      <c r="O144" s="11"/>
      <c r="P144" s="12"/>
      <c r="S144" s="9"/>
      <c r="T144" s="9"/>
      <c r="U144" s="9"/>
      <c r="V144" s="9"/>
    </row>
    <row r="145">
      <c r="A145" s="9" t="s">
        <v>17</v>
      </c>
      <c r="B145" s="10"/>
      <c r="C145" s="11"/>
      <c r="D145" s="12"/>
      <c r="E145" s="10"/>
      <c r="F145" s="11"/>
      <c r="G145" s="12"/>
      <c r="H145" s="10"/>
      <c r="I145" s="11"/>
      <c r="J145" s="12"/>
      <c r="K145" s="10"/>
      <c r="L145" s="11"/>
      <c r="M145" s="12"/>
      <c r="N145" s="10"/>
      <c r="O145" s="11"/>
      <c r="P145" s="12"/>
      <c r="S145" s="9"/>
      <c r="T145" s="9"/>
      <c r="U145" s="9"/>
      <c r="V145" s="9"/>
    </row>
    <row r="146">
      <c r="A146" s="9" t="s">
        <v>18</v>
      </c>
      <c r="B146" s="10"/>
      <c r="C146" s="11"/>
      <c r="D146" s="12"/>
      <c r="E146" s="10"/>
      <c r="F146" s="11"/>
      <c r="G146" s="12"/>
      <c r="H146" s="10"/>
      <c r="I146" s="11"/>
      <c r="J146" s="12"/>
      <c r="K146" s="10"/>
      <c r="L146" s="11"/>
      <c r="M146" s="12"/>
      <c r="N146" s="10"/>
      <c r="O146" s="11"/>
      <c r="P146" s="12"/>
      <c r="S146" s="9"/>
      <c r="T146" s="9"/>
      <c r="U146" s="9"/>
      <c r="V146" s="9"/>
    </row>
    <row r="147">
      <c r="A147" s="9" t="s">
        <v>19</v>
      </c>
      <c r="B147" s="10"/>
      <c r="C147" s="11"/>
      <c r="D147" s="12"/>
      <c r="E147" s="10"/>
      <c r="F147" s="11"/>
      <c r="G147" s="12"/>
      <c r="H147" s="10"/>
      <c r="I147" s="11"/>
      <c r="J147" s="12"/>
      <c r="K147" s="10"/>
      <c r="L147" s="11"/>
      <c r="M147" s="12"/>
      <c r="N147" s="10"/>
      <c r="O147" s="11"/>
      <c r="P147" s="12"/>
      <c r="S147" s="9"/>
      <c r="T147" s="9"/>
      <c r="U147" s="9"/>
      <c r="V147" s="9"/>
    </row>
    <row r="148">
      <c r="A148" s="5" t="s">
        <v>35</v>
      </c>
      <c r="B148" s="6">
        <f>SUM(B149:B156)</f>
      </c>
      <c r="C148" s="7">
        <f>SUM(C149:C156)</f>
      </c>
      <c r="D148" s="8">
        <f>IF(B148&gt;0,C148/B148,"")</f>
      </c>
      <c r="E148" s="6">
        <f>SUM(E149:E156)</f>
      </c>
      <c r="F148" s="7">
        <f>SUM(F149:F156)</f>
      </c>
      <c r="G148" s="8">
        <f>IF(E148&gt;0,F148/E148,"")</f>
      </c>
      <c r="H148" s="6">
        <f>SUM(H149:H156)</f>
      </c>
      <c r="I148" s="7">
        <f>SUM(I149:I156)</f>
      </c>
      <c r="J148" s="8">
        <f>IF(H148&gt;0,I148/H148,"")</f>
      </c>
      <c r="K148" s="6">
        <f>SUM(K149:K156)</f>
      </c>
      <c r="L148" s="7">
        <f>SUM(L149:L156)</f>
      </c>
      <c r="M148" s="8">
        <f>IF(K148&gt;0,L148/K148,"")</f>
      </c>
      <c r="N148" s="6">
        <f>SUM(N149:N156)</f>
      </c>
      <c r="O148" s="7">
        <f>SUM(O149:O156)</f>
      </c>
      <c r="P148" s="8">
        <f>IF(N148&gt;0,O148/N148,"")</f>
      </c>
      <c r="S148" s="14">
        <f>IF(B148&gt;0,C148/B148,"")</f>
      </c>
      <c r="T148" s="14">
        <f>IF(E148&gt;0,F148/E148,"")</f>
      </c>
      <c r="U148" s="14">
        <f>IF((H148+K148)&gt;0,(I148+L148)/(H148+K148),"")</f>
      </c>
      <c r="V148" s="14">
        <f>IF(N148&gt;0,O148/N148,"")</f>
      </c>
    </row>
    <row r="149">
      <c r="A149" s="9" t="s">
        <v>12</v>
      </c>
      <c r="B149" s="10"/>
      <c r="C149" s="11"/>
      <c r="D149" s="12"/>
      <c r="E149" s="10"/>
      <c r="F149" s="11"/>
      <c r="G149" s="12"/>
      <c r="H149" s="10"/>
      <c r="I149" s="11"/>
      <c r="J149" s="12"/>
      <c r="K149" s="10"/>
      <c r="L149" s="11"/>
      <c r="M149" s="12"/>
      <c r="N149" s="10"/>
      <c r="O149" s="11"/>
      <c r="P149" s="12"/>
      <c r="S149" s="9"/>
      <c r="T149" s="9"/>
      <c r="U149" s="9"/>
      <c r="V149" s="9"/>
    </row>
    <row r="150">
      <c r="A150" s="9" t="s">
        <v>13</v>
      </c>
      <c r="B150" s="10"/>
      <c r="C150" s="11"/>
      <c r="D150" s="12"/>
      <c r="E150" s="10"/>
      <c r="F150" s="11"/>
      <c r="G150" s="12"/>
      <c r="H150" s="10">
        <v>8.04</v>
      </c>
      <c r="I150" s="11">
        <v>880.38</v>
      </c>
      <c r="J150" s="12">
        <f>IF(H150&gt;0,I150/H150,"")</f>
      </c>
      <c r="K150" s="10">
        <v>4</v>
      </c>
      <c r="L150" s="11">
        <v>332</v>
      </c>
      <c r="M150" s="12">
        <f>IF(K150&gt;0,L150/K150,"")</f>
      </c>
      <c r="N150" s="10"/>
      <c r="O150" s="11"/>
      <c r="P150" s="12"/>
      <c r="S150" s="9"/>
      <c r="T150" s="9"/>
      <c r="U150" s="9"/>
      <c r="V150" s="9"/>
    </row>
    <row r="151">
      <c r="A151" s="9" t="s">
        <v>14</v>
      </c>
      <c r="B151" s="10"/>
      <c r="C151" s="11"/>
      <c r="D151" s="12"/>
      <c r="E151" s="10"/>
      <c r="F151" s="11"/>
      <c r="G151" s="12"/>
      <c r="H151" s="10">
        <v>56.51</v>
      </c>
      <c r="I151" s="11">
        <v>5045.1</v>
      </c>
      <c r="J151" s="12">
        <f>IF(H151&gt;0,I151/H151,"")</f>
      </c>
      <c r="K151" s="10">
        <v>8.07</v>
      </c>
      <c r="L151" s="11">
        <v>746.48</v>
      </c>
      <c r="M151" s="12">
        <f>IF(K151&gt;0,L151/K151,"")</f>
      </c>
      <c r="N151" s="10"/>
      <c r="O151" s="11"/>
      <c r="P151" s="12"/>
      <c r="S151" s="9"/>
      <c r="T151" s="9"/>
      <c r="U151" s="9"/>
      <c r="V151" s="9"/>
    </row>
    <row r="152">
      <c r="A152" s="9" t="s">
        <v>15</v>
      </c>
      <c r="B152" s="10"/>
      <c r="C152" s="11"/>
      <c r="D152" s="12"/>
      <c r="E152" s="10"/>
      <c r="F152" s="11"/>
      <c r="G152" s="12"/>
      <c r="H152" s="10">
        <v>24.37</v>
      </c>
      <c r="I152" s="11">
        <v>1893.76</v>
      </c>
      <c r="J152" s="12">
        <f>IF(H152&gt;0,I152/H152,"")</f>
      </c>
      <c r="K152" s="10">
        <v>4.04</v>
      </c>
      <c r="L152" s="11">
        <v>270.68</v>
      </c>
      <c r="M152" s="12">
        <f>IF(K152&gt;0,L152/K152,"")</f>
      </c>
      <c r="N152" s="10"/>
      <c r="O152" s="11"/>
      <c r="P152" s="12"/>
      <c r="S152" s="9"/>
      <c r="T152" s="9"/>
      <c r="U152" s="9"/>
      <c r="V152" s="9"/>
    </row>
    <row r="153">
      <c r="A153" s="9" t="s">
        <v>16</v>
      </c>
      <c r="B153" s="10"/>
      <c r="C153" s="11"/>
      <c r="D153" s="12"/>
      <c r="E153" s="10"/>
      <c r="F153" s="11"/>
      <c r="G153" s="12"/>
      <c r="H153" s="10"/>
      <c r="I153" s="11"/>
      <c r="J153" s="12"/>
      <c r="K153" s="10"/>
      <c r="L153" s="11"/>
      <c r="M153" s="12"/>
      <c r="N153" s="10"/>
      <c r="O153" s="11"/>
      <c r="P153" s="12"/>
      <c r="S153" s="9"/>
      <c r="T153" s="9"/>
      <c r="U153" s="9"/>
      <c r="V153" s="9"/>
    </row>
    <row r="154">
      <c r="A154" s="9" t="s">
        <v>17</v>
      </c>
      <c r="B154" s="10"/>
      <c r="C154" s="11"/>
      <c r="D154" s="12"/>
      <c r="E154" s="10"/>
      <c r="F154" s="11"/>
      <c r="G154" s="12"/>
      <c r="H154" s="10"/>
      <c r="I154" s="11"/>
      <c r="J154" s="12"/>
      <c r="K154" s="10"/>
      <c r="L154" s="11"/>
      <c r="M154" s="12"/>
      <c r="N154" s="10"/>
      <c r="O154" s="11"/>
      <c r="P154" s="12"/>
      <c r="S154" s="9"/>
      <c r="T154" s="9"/>
      <c r="U154" s="9"/>
      <c r="V154" s="9"/>
    </row>
    <row r="155">
      <c r="A155" s="9" t="s">
        <v>18</v>
      </c>
      <c r="B155" s="10"/>
      <c r="C155" s="11"/>
      <c r="D155" s="12"/>
      <c r="E155" s="10"/>
      <c r="F155" s="11"/>
      <c r="G155" s="12"/>
      <c r="H155" s="10"/>
      <c r="I155" s="11"/>
      <c r="J155" s="12"/>
      <c r="K155" s="10"/>
      <c r="L155" s="11"/>
      <c r="M155" s="12"/>
      <c r="N155" s="10"/>
      <c r="O155" s="11"/>
      <c r="P155" s="12"/>
      <c r="S155" s="9"/>
      <c r="T155" s="9"/>
      <c r="U155" s="9"/>
      <c r="V155" s="9"/>
    </row>
    <row r="156">
      <c r="A156" s="9" t="s">
        <v>19</v>
      </c>
      <c r="B156" s="10"/>
      <c r="C156" s="11"/>
      <c r="D156" s="12"/>
      <c r="E156" s="10"/>
      <c r="F156" s="11"/>
      <c r="G156" s="12"/>
      <c r="H156" s="10"/>
      <c r="I156" s="11"/>
      <c r="J156" s="12"/>
      <c r="K156" s="10"/>
      <c r="L156" s="11"/>
      <c r="M156" s="12"/>
      <c r="N156" s="10"/>
      <c r="O156" s="11"/>
      <c r="P156" s="12"/>
      <c r="S156" s="9"/>
      <c r="T156" s="9"/>
      <c r="U156" s="9"/>
      <c r="V156" s="9"/>
    </row>
    <row r="157">
      <c r="A157" s="5" t="s">
        <v>36</v>
      </c>
      <c r="B157" s="6">
        <f>SUM(B158:B165)</f>
      </c>
      <c r="C157" s="7">
        <f>SUM(C158:C165)</f>
      </c>
      <c r="D157" s="8">
        <f>IF(B157&gt;0,C157/B157,"")</f>
      </c>
      <c r="E157" s="6">
        <f>SUM(E158:E165)</f>
      </c>
      <c r="F157" s="7">
        <f>SUM(F158:F165)</f>
      </c>
      <c r="G157" s="8">
        <f>IF(E157&gt;0,F157/E157,"")</f>
      </c>
      <c r="H157" s="6">
        <f>SUM(H158:H165)</f>
      </c>
      <c r="I157" s="7">
        <f>SUM(I158:I165)</f>
      </c>
      <c r="J157" s="8">
        <f>IF(H157&gt;0,I157/H157,"")</f>
      </c>
      <c r="K157" s="6">
        <f>SUM(K158:K165)</f>
      </c>
      <c r="L157" s="7">
        <f>SUM(L158:L165)</f>
      </c>
      <c r="M157" s="8">
        <f>IF(K157&gt;0,L157/K157,"")</f>
      </c>
      <c r="N157" s="6">
        <f>SUM(N158:N165)</f>
      </c>
      <c r="O157" s="7">
        <f>SUM(O158:O165)</f>
      </c>
      <c r="P157" s="8">
        <f>IF(N157&gt;0,O157/N157,"")</f>
      </c>
      <c r="S157" s="14">
        <f>IF(B157&gt;0,C157/B157,"")</f>
      </c>
      <c r="T157" s="14">
        <f>IF(E157&gt;0,F157/E157,"")</f>
      </c>
      <c r="U157" s="14">
        <f>IF((H157+K157)&gt;0,(I157+L157)/(H157+K157),"")</f>
      </c>
      <c r="V157" s="14">
        <f>IF(N157&gt;0,O157/N157,"")</f>
      </c>
    </row>
    <row r="158">
      <c r="A158" s="9" t="s">
        <v>12</v>
      </c>
      <c r="B158" s="10"/>
      <c r="C158" s="11"/>
      <c r="D158" s="12"/>
      <c r="E158" s="10"/>
      <c r="F158" s="11"/>
      <c r="G158" s="12"/>
      <c r="H158" s="10"/>
      <c r="I158" s="11"/>
      <c r="J158" s="12"/>
      <c r="K158" s="10">
        <v>4.14</v>
      </c>
      <c r="L158" s="11">
        <v>569.46</v>
      </c>
      <c r="M158" s="12">
        <f>IF(K158&gt;0,L158/K158,"")</f>
      </c>
      <c r="N158" s="10"/>
      <c r="O158" s="11"/>
      <c r="P158" s="12"/>
      <c r="S158" s="9"/>
      <c r="T158" s="9"/>
      <c r="U158" s="9"/>
      <c r="V158" s="9"/>
    </row>
    <row r="159">
      <c r="A159" s="9" t="s">
        <v>13</v>
      </c>
      <c r="B159" s="10"/>
      <c r="C159" s="11"/>
      <c r="D159" s="12"/>
      <c r="E159" s="10">
        <v>4.19</v>
      </c>
      <c r="F159" s="11">
        <v>1676</v>
      </c>
      <c r="G159" s="12">
        <f>IF(E159&gt;0,F159/E159,"")</f>
      </c>
      <c r="H159" s="10"/>
      <c r="I159" s="11"/>
      <c r="J159" s="12"/>
      <c r="K159" s="10">
        <v>4.11</v>
      </c>
      <c r="L159" s="11">
        <v>267.15</v>
      </c>
      <c r="M159" s="12">
        <f>IF(K159&gt;0,L159/K159,"")</f>
      </c>
      <c r="N159" s="10"/>
      <c r="O159" s="11"/>
      <c r="P159" s="12"/>
      <c r="S159" s="9"/>
      <c r="T159" s="9"/>
      <c r="U159" s="9"/>
      <c r="V159" s="9"/>
    </row>
    <row r="160">
      <c r="A160" s="9" t="s">
        <v>14</v>
      </c>
      <c r="B160" s="10"/>
      <c r="C160" s="11"/>
      <c r="D160" s="12"/>
      <c r="E160" s="10"/>
      <c r="F160" s="11"/>
      <c r="G160" s="12"/>
      <c r="H160" s="10"/>
      <c r="I160" s="11"/>
      <c r="J160" s="12"/>
      <c r="K160" s="10"/>
      <c r="L160" s="11"/>
      <c r="M160" s="12"/>
      <c r="N160" s="10"/>
      <c r="O160" s="11"/>
      <c r="P160" s="12"/>
      <c r="S160" s="9"/>
      <c r="T160" s="9"/>
      <c r="U160" s="9"/>
      <c r="V160" s="9"/>
    </row>
    <row r="161">
      <c r="A161" s="9" t="s">
        <v>15</v>
      </c>
      <c r="B161" s="10"/>
      <c r="C161" s="11"/>
      <c r="D161" s="12"/>
      <c r="E161" s="10"/>
      <c r="F161" s="11"/>
      <c r="G161" s="12"/>
      <c r="H161" s="10"/>
      <c r="I161" s="11"/>
      <c r="J161" s="12"/>
      <c r="K161" s="10"/>
      <c r="L161" s="11"/>
      <c r="M161" s="12"/>
      <c r="N161" s="10"/>
      <c r="O161" s="11"/>
      <c r="P161" s="12"/>
      <c r="S161" s="9"/>
      <c r="T161" s="9"/>
      <c r="U161" s="9"/>
      <c r="V161" s="9"/>
    </row>
    <row r="162">
      <c r="A162" s="9" t="s">
        <v>16</v>
      </c>
      <c r="B162" s="10"/>
      <c r="C162" s="11"/>
      <c r="D162" s="12"/>
      <c r="E162" s="10">
        <v>4.46</v>
      </c>
      <c r="F162" s="11">
        <v>361.26</v>
      </c>
      <c r="G162" s="12">
        <f>IF(E162&gt;0,F162/E162,"")</f>
      </c>
      <c r="H162" s="10"/>
      <c r="I162" s="11"/>
      <c r="J162" s="12"/>
      <c r="K162" s="10"/>
      <c r="L162" s="11"/>
      <c r="M162" s="12"/>
      <c r="N162" s="10"/>
      <c r="O162" s="11"/>
      <c r="P162" s="12"/>
      <c r="S162" s="9"/>
      <c r="T162" s="9"/>
      <c r="U162" s="9"/>
      <c r="V162" s="9"/>
    </row>
    <row r="163">
      <c r="A163" s="9" t="s">
        <v>17</v>
      </c>
      <c r="B163" s="10"/>
      <c r="C163" s="11"/>
      <c r="D163" s="12"/>
      <c r="E163" s="10"/>
      <c r="F163" s="11"/>
      <c r="G163" s="12"/>
      <c r="H163" s="10"/>
      <c r="I163" s="11"/>
      <c r="J163" s="12"/>
      <c r="K163" s="10"/>
      <c r="L163" s="11"/>
      <c r="M163" s="12"/>
      <c r="N163" s="10"/>
      <c r="O163" s="11"/>
      <c r="P163" s="12"/>
      <c r="S163" s="9"/>
      <c r="T163" s="9"/>
      <c r="U163" s="9"/>
      <c r="V163" s="9"/>
    </row>
    <row r="164">
      <c r="A164" s="9" t="s">
        <v>18</v>
      </c>
      <c r="B164" s="10"/>
      <c r="C164" s="11"/>
      <c r="D164" s="12"/>
      <c r="E164" s="10"/>
      <c r="F164" s="11"/>
      <c r="G164" s="12"/>
      <c r="H164" s="10"/>
      <c r="I164" s="11"/>
      <c r="J164" s="12"/>
      <c r="K164" s="10"/>
      <c r="L164" s="11"/>
      <c r="M164" s="12"/>
      <c r="N164" s="10"/>
      <c r="O164" s="11"/>
      <c r="P164" s="12"/>
      <c r="S164" s="9"/>
      <c r="T164" s="9"/>
      <c r="U164" s="9"/>
      <c r="V164" s="9"/>
    </row>
    <row r="165">
      <c r="A165" s="9" t="s">
        <v>19</v>
      </c>
      <c r="B165" s="10"/>
      <c r="C165" s="11"/>
      <c r="D165" s="12"/>
      <c r="E165" s="10"/>
      <c r="F165" s="11"/>
      <c r="G165" s="12"/>
      <c r="H165" s="10"/>
      <c r="I165" s="11"/>
      <c r="J165" s="12"/>
      <c r="K165" s="10"/>
      <c r="L165" s="11"/>
      <c r="M165" s="12"/>
      <c r="N165" s="10"/>
      <c r="O165" s="11"/>
      <c r="P165" s="12"/>
      <c r="S165" s="9"/>
      <c r="T165" s="9"/>
      <c r="U165" s="9"/>
      <c r="V165" s="9"/>
    </row>
    <row r="166">
      <c r="A166" s="5" t="s">
        <v>37</v>
      </c>
      <c r="B166" s="6">
        <f>SUM(B167:B174)</f>
      </c>
      <c r="C166" s="7">
        <f>SUM(C167:C174)</f>
      </c>
      <c r="D166" s="8">
        <f>IF(B166&gt;0,C166/B166,"")</f>
      </c>
      <c r="E166" s="6">
        <f>SUM(E167:E174)</f>
      </c>
      <c r="F166" s="7">
        <f>SUM(F167:F174)</f>
      </c>
      <c r="G166" s="8">
        <f>IF(E166&gt;0,F166/E166,"")</f>
      </c>
      <c r="H166" s="6">
        <f>SUM(H167:H174)</f>
      </c>
      <c r="I166" s="7">
        <f>SUM(I167:I174)</f>
      </c>
      <c r="J166" s="8">
        <f>IF(H166&gt;0,I166/H166,"")</f>
      </c>
      <c r="K166" s="6">
        <f>SUM(K167:K174)</f>
      </c>
      <c r="L166" s="7">
        <f>SUM(L167:L174)</f>
      </c>
      <c r="M166" s="8">
        <f>IF(K166&gt;0,L166/K166,"")</f>
      </c>
      <c r="N166" s="6">
        <f>SUM(N167:N174)</f>
      </c>
      <c r="O166" s="7">
        <f>SUM(O167:O174)</f>
      </c>
      <c r="P166" s="8">
        <f>IF(N166&gt;0,O166/N166,"")</f>
      </c>
      <c r="S166" s="14">
        <f>IF(B166&gt;0,C166/B166,"")</f>
      </c>
      <c r="T166" s="14">
        <f>IF(E166&gt;0,F166/E166,"")</f>
      </c>
      <c r="U166" s="14">
        <f>IF((H166+K166)&gt;0,(I166+L166)/(H166+K166),"")</f>
      </c>
      <c r="V166" s="14">
        <f>IF(N166&gt;0,O166/N166,"")</f>
      </c>
    </row>
    <row r="167">
      <c r="A167" s="9" t="s">
        <v>12</v>
      </c>
      <c r="B167" s="10"/>
      <c r="C167" s="11"/>
      <c r="D167" s="12"/>
      <c r="E167" s="10"/>
      <c r="F167" s="11"/>
      <c r="G167" s="12"/>
      <c r="H167" s="10"/>
      <c r="I167" s="11"/>
      <c r="J167" s="12"/>
      <c r="K167" s="10"/>
      <c r="L167" s="11"/>
      <c r="M167" s="12"/>
      <c r="N167" s="10"/>
      <c r="O167" s="11"/>
      <c r="P167" s="12"/>
      <c r="S167" s="9"/>
      <c r="T167" s="9"/>
      <c r="U167" s="9"/>
      <c r="V167" s="9"/>
    </row>
    <row r="168">
      <c r="A168" s="9" t="s">
        <v>13</v>
      </c>
      <c r="B168" s="10"/>
      <c r="C168" s="11"/>
      <c r="D168" s="12"/>
      <c r="E168" s="10"/>
      <c r="F168" s="11"/>
      <c r="G168" s="12"/>
      <c r="H168" s="10">
        <v>4.6</v>
      </c>
      <c r="I168" s="11">
        <v>627.9</v>
      </c>
      <c r="J168" s="12">
        <f>IF(H168&gt;0,I168/H168,"")</f>
      </c>
      <c r="K168" s="10"/>
      <c r="L168" s="11"/>
      <c r="M168" s="12"/>
      <c r="N168" s="10"/>
      <c r="O168" s="11"/>
      <c r="P168" s="12"/>
      <c r="S168" s="9"/>
      <c r="T168" s="9"/>
      <c r="U168" s="9"/>
      <c r="V168" s="9"/>
    </row>
    <row r="169">
      <c r="A169" s="9" t="s">
        <v>14</v>
      </c>
      <c r="B169" s="10"/>
      <c r="C169" s="11"/>
      <c r="D169" s="12"/>
      <c r="E169" s="10"/>
      <c r="F169" s="11"/>
      <c r="G169" s="12"/>
      <c r="H169" s="10">
        <v>9.92</v>
      </c>
      <c r="I169" s="11">
        <v>952.32</v>
      </c>
      <c r="J169" s="12">
        <f>IF(H169&gt;0,I169/H169,"")</f>
      </c>
      <c r="K169" s="10">
        <v>4.8</v>
      </c>
      <c r="L169" s="11">
        <v>364.8</v>
      </c>
      <c r="M169" s="12">
        <f>IF(K169&gt;0,L169/K169,"")</f>
      </c>
      <c r="N169" s="10"/>
      <c r="O169" s="11"/>
      <c r="P169" s="12"/>
      <c r="S169" s="9"/>
      <c r="T169" s="9"/>
      <c r="U169" s="9"/>
      <c r="V169" s="9"/>
    </row>
    <row r="170">
      <c r="A170" s="9" t="s">
        <v>15</v>
      </c>
      <c r="B170" s="10"/>
      <c r="C170" s="11"/>
      <c r="D170" s="12"/>
      <c r="E170" s="10"/>
      <c r="F170" s="11"/>
      <c r="G170" s="12"/>
      <c r="H170" s="10"/>
      <c r="I170" s="11"/>
      <c r="J170" s="12"/>
      <c r="K170" s="10"/>
      <c r="L170" s="11"/>
      <c r="M170" s="12"/>
      <c r="N170" s="10"/>
      <c r="O170" s="11"/>
      <c r="P170" s="12"/>
      <c r="S170" s="9"/>
      <c r="T170" s="9"/>
      <c r="U170" s="9"/>
      <c r="V170" s="9"/>
    </row>
    <row r="171">
      <c r="A171" s="9" t="s">
        <v>16</v>
      </c>
      <c r="B171" s="10"/>
      <c r="C171" s="11"/>
      <c r="D171" s="12"/>
      <c r="E171" s="10"/>
      <c r="F171" s="11"/>
      <c r="G171" s="12"/>
      <c r="H171" s="10"/>
      <c r="I171" s="11"/>
      <c r="J171" s="12"/>
      <c r="K171" s="10"/>
      <c r="L171" s="11"/>
      <c r="M171" s="12"/>
      <c r="N171" s="10"/>
      <c r="O171" s="11"/>
      <c r="P171" s="12"/>
      <c r="S171" s="9"/>
      <c r="T171" s="9"/>
      <c r="U171" s="9"/>
      <c r="V171" s="9"/>
    </row>
    <row r="172">
      <c r="A172" s="9" t="s">
        <v>17</v>
      </c>
      <c r="B172" s="10"/>
      <c r="C172" s="11"/>
      <c r="D172" s="12"/>
      <c r="E172" s="10"/>
      <c r="F172" s="11"/>
      <c r="G172" s="12"/>
      <c r="H172" s="10"/>
      <c r="I172" s="11"/>
      <c r="J172" s="12"/>
      <c r="K172" s="10"/>
      <c r="L172" s="11"/>
      <c r="M172" s="12"/>
      <c r="N172" s="10"/>
      <c r="O172" s="11"/>
      <c r="P172" s="12"/>
      <c r="S172" s="9"/>
      <c r="T172" s="9"/>
      <c r="U172" s="9"/>
      <c r="V172" s="9"/>
    </row>
    <row r="173">
      <c r="A173" s="9" t="s">
        <v>18</v>
      </c>
      <c r="B173" s="10"/>
      <c r="C173" s="11"/>
      <c r="D173" s="12"/>
      <c r="E173" s="10"/>
      <c r="F173" s="11"/>
      <c r="G173" s="12"/>
      <c r="H173" s="10"/>
      <c r="I173" s="11"/>
      <c r="J173" s="12"/>
      <c r="K173" s="10"/>
      <c r="L173" s="11"/>
      <c r="M173" s="12"/>
      <c r="N173" s="10"/>
      <c r="O173" s="11"/>
      <c r="P173" s="12"/>
      <c r="S173" s="9"/>
      <c r="T173" s="9"/>
      <c r="U173" s="9"/>
      <c r="V173" s="9"/>
    </row>
    <row r="174">
      <c r="A174" s="9" t="s">
        <v>19</v>
      </c>
      <c r="B174" s="10"/>
      <c r="C174" s="11"/>
      <c r="D174" s="12"/>
      <c r="E174" s="10"/>
      <c r="F174" s="11"/>
      <c r="G174" s="12"/>
      <c r="H174" s="10"/>
      <c r="I174" s="11"/>
      <c r="J174" s="12"/>
      <c r="K174" s="10"/>
      <c r="L174" s="11"/>
      <c r="M174" s="12"/>
      <c r="N174" s="10"/>
      <c r="O174" s="11"/>
      <c r="P174" s="12"/>
      <c r="S174" s="9"/>
      <c r="T174" s="9"/>
      <c r="U174" s="9"/>
      <c r="V174" s="9"/>
    </row>
    <row r="175">
      <c r="A175" s="5" t="s">
        <v>38</v>
      </c>
      <c r="B175" s="6">
        <f>SUM(B176:B183)</f>
      </c>
      <c r="C175" s="7">
        <f>SUM(C176:C183)</f>
      </c>
      <c r="D175" s="8">
        <f>IF(B175&gt;0,C175/B175,"")</f>
      </c>
      <c r="E175" s="6">
        <f>SUM(E176:E183)</f>
      </c>
      <c r="F175" s="7">
        <f>SUM(F176:F183)</f>
      </c>
      <c r="G175" s="8">
        <f>IF(E175&gt;0,F175/E175,"")</f>
      </c>
      <c r="H175" s="6">
        <f>SUM(H176:H183)</f>
      </c>
      <c r="I175" s="7">
        <f>SUM(I176:I183)</f>
      </c>
      <c r="J175" s="8">
        <f>IF(H175&gt;0,I175/H175,"")</f>
      </c>
      <c r="K175" s="6">
        <f>SUM(K176:K183)</f>
      </c>
      <c r="L175" s="7">
        <f>SUM(L176:L183)</f>
      </c>
      <c r="M175" s="8">
        <f>IF(K175&gt;0,L175/K175,"")</f>
      </c>
      <c r="N175" s="6">
        <f>SUM(N176:N183)</f>
      </c>
      <c r="O175" s="7">
        <f>SUM(O176:O183)</f>
      </c>
      <c r="P175" s="8">
        <f>IF(N175&gt;0,O175/N175,"")</f>
      </c>
      <c r="S175" s="14">
        <f>IF(B175&gt;0,C175/B175,"")</f>
      </c>
      <c r="T175" s="14">
        <f>IF(E175&gt;0,F175/E175,"")</f>
      </c>
      <c r="U175" s="14">
        <f>IF((H175+K175)&gt;0,(I175+L175)/(H175+K175),"")</f>
      </c>
      <c r="V175" s="14">
        <f>IF(N175&gt;0,O175/N175,"")</f>
      </c>
    </row>
    <row r="176">
      <c r="A176" s="9" t="s">
        <v>12</v>
      </c>
      <c r="B176" s="10"/>
      <c r="C176" s="11"/>
      <c r="D176" s="12"/>
      <c r="E176" s="10"/>
      <c r="F176" s="11"/>
      <c r="G176" s="12"/>
      <c r="H176" s="10"/>
      <c r="I176" s="11"/>
      <c r="J176" s="12"/>
      <c r="K176" s="10"/>
      <c r="L176" s="11"/>
      <c r="M176" s="12"/>
      <c r="N176" s="10"/>
      <c r="O176" s="11"/>
      <c r="P176" s="12"/>
      <c r="S176" s="9"/>
      <c r="T176" s="9"/>
      <c r="U176" s="9"/>
      <c r="V176" s="9"/>
    </row>
    <row r="177">
      <c r="A177" s="9" t="s">
        <v>13</v>
      </c>
      <c r="B177" s="10"/>
      <c r="C177" s="11"/>
      <c r="D177" s="12"/>
      <c r="E177" s="10">
        <v>95.68</v>
      </c>
      <c r="F177" s="11">
        <v>11772.12</v>
      </c>
      <c r="G177" s="12">
        <f>IF(E177&gt;0,F177/E177,"")</f>
      </c>
      <c r="H177" s="10">
        <v>80.84</v>
      </c>
      <c r="I177" s="11">
        <v>10300.41</v>
      </c>
      <c r="J177" s="12">
        <f>IF(H177&gt;0,I177/H177,"")</f>
      </c>
      <c r="K177" s="10">
        <v>10.09</v>
      </c>
      <c r="L177" s="11">
        <v>1097.05</v>
      </c>
      <c r="M177" s="12">
        <f>IF(K177&gt;0,L177/K177,"")</f>
      </c>
      <c r="N177" s="10"/>
      <c r="O177" s="11"/>
      <c r="P177" s="12"/>
      <c r="S177" s="9"/>
      <c r="T177" s="9"/>
      <c r="U177" s="9"/>
      <c r="V177" s="9"/>
    </row>
    <row r="178">
      <c r="A178" s="9" t="s">
        <v>14</v>
      </c>
      <c r="B178" s="10"/>
      <c r="C178" s="11"/>
      <c r="D178" s="12"/>
      <c r="E178" s="10">
        <v>217.41</v>
      </c>
      <c r="F178" s="11">
        <v>20099.33</v>
      </c>
      <c r="G178" s="12">
        <f>IF(E178&gt;0,F178/E178,"")</f>
      </c>
      <c r="H178" s="10">
        <v>180.9</v>
      </c>
      <c r="I178" s="11">
        <v>16631.72</v>
      </c>
      <c r="J178" s="12">
        <f>IF(H178&gt;0,I178/H178,"")</f>
      </c>
      <c r="K178" s="10">
        <v>5.08</v>
      </c>
      <c r="L178" s="11">
        <v>325.12</v>
      </c>
      <c r="M178" s="12">
        <f>IF(K178&gt;0,L178/K178,"")</f>
      </c>
      <c r="N178" s="10"/>
      <c r="O178" s="11"/>
      <c r="P178" s="12"/>
      <c r="S178" s="9"/>
      <c r="T178" s="9"/>
      <c r="U178" s="9"/>
      <c r="V178" s="9"/>
    </row>
    <row r="179">
      <c r="A179" s="9" t="s">
        <v>15</v>
      </c>
      <c r="B179" s="10"/>
      <c r="C179" s="11"/>
      <c r="D179" s="12"/>
      <c r="E179" s="10"/>
      <c r="F179" s="11"/>
      <c r="G179" s="12"/>
      <c r="H179" s="10">
        <v>10.06</v>
      </c>
      <c r="I179" s="11">
        <v>695.48</v>
      </c>
      <c r="J179" s="12">
        <f>IF(H179&gt;0,I179/H179,"")</f>
      </c>
      <c r="K179" s="10">
        <v>5.09</v>
      </c>
      <c r="L179" s="11">
        <v>506.25</v>
      </c>
      <c r="M179" s="12">
        <f>IF(K179&gt;0,L179/K179,"")</f>
      </c>
      <c r="N179" s="10"/>
      <c r="O179" s="11"/>
      <c r="P179" s="12"/>
      <c r="S179" s="9"/>
      <c r="T179" s="9"/>
      <c r="U179" s="9"/>
      <c r="V179" s="9"/>
    </row>
    <row r="180">
      <c r="A180" s="9" t="s">
        <v>16</v>
      </c>
      <c r="B180" s="10"/>
      <c r="C180" s="11"/>
      <c r="D180" s="12"/>
      <c r="E180" s="10"/>
      <c r="F180" s="11"/>
      <c r="G180" s="12"/>
      <c r="H180" s="10"/>
      <c r="I180" s="11"/>
      <c r="J180" s="12"/>
      <c r="K180" s="10"/>
      <c r="L180" s="11"/>
      <c r="M180" s="12"/>
      <c r="N180" s="10"/>
      <c r="O180" s="11"/>
      <c r="P180" s="12"/>
      <c r="S180" s="9"/>
      <c r="T180" s="9"/>
      <c r="U180" s="9"/>
      <c r="V180" s="9"/>
    </row>
    <row r="181">
      <c r="A181" s="9" t="s">
        <v>17</v>
      </c>
      <c r="B181" s="10"/>
      <c r="C181" s="11"/>
      <c r="D181" s="12"/>
      <c r="E181" s="10"/>
      <c r="F181" s="11"/>
      <c r="G181" s="12"/>
      <c r="H181" s="10"/>
      <c r="I181" s="11"/>
      <c r="J181" s="12"/>
      <c r="K181" s="10"/>
      <c r="L181" s="11"/>
      <c r="M181" s="12"/>
      <c r="N181" s="10"/>
      <c r="O181" s="11"/>
      <c r="P181" s="12"/>
      <c r="S181" s="9"/>
      <c r="T181" s="9"/>
      <c r="U181" s="9"/>
      <c r="V181" s="9"/>
    </row>
    <row r="182">
      <c r="A182" s="9" t="s">
        <v>18</v>
      </c>
      <c r="B182" s="10"/>
      <c r="C182" s="11"/>
      <c r="D182" s="12"/>
      <c r="E182" s="10"/>
      <c r="F182" s="11"/>
      <c r="G182" s="12"/>
      <c r="H182" s="10"/>
      <c r="I182" s="11"/>
      <c r="J182" s="12"/>
      <c r="K182" s="10"/>
      <c r="L182" s="11"/>
      <c r="M182" s="12"/>
      <c r="N182" s="10"/>
      <c r="O182" s="11"/>
      <c r="P182" s="12"/>
      <c r="S182" s="9"/>
      <c r="T182" s="9"/>
      <c r="U182" s="9"/>
      <c r="V182" s="9"/>
    </row>
    <row r="183">
      <c r="A183" s="9" t="s">
        <v>19</v>
      </c>
      <c r="B183" s="10"/>
      <c r="C183" s="11"/>
      <c r="D183" s="12"/>
      <c r="E183" s="10"/>
      <c r="F183" s="11"/>
      <c r="G183" s="12"/>
      <c r="H183" s="10"/>
      <c r="I183" s="11"/>
      <c r="J183" s="12"/>
      <c r="K183" s="10"/>
      <c r="L183" s="11"/>
      <c r="M183" s="12"/>
      <c r="N183" s="10"/>
      <c r="O183" s="11"/>
      <c r="P183" s="12"/>
      <c r="S183" s="9"/>
      <c r="T183" s="9"/>
      <c r="U183" s="9"/>
      <c r="V183" s="9"/>
    </row>
    <row r="184">
      <c r="A184" s="5" t="s">
        <v>39</v>
      </c>
      <c r="B184" s="6">
        <f>SUM(B185:B192)</f>
      </c>
      <c r="C184" s="7">
        <f>SUM(C185:C192)</f>
      </c>
      <c r="D184" s="8">
        <f>IF(B184&gt;0,C184/B184,"")</f>
      </c>
      <c r="E184" s="6">
        <f>SUM(E185:E192)</f>
      </c>
      <c r="F184" s="7">
        <f>SUM(F185:F192)</f>
      </c>
      <c r="G184" s="8">
        <f>IF(E184&gt;0,F184/E184,"")</f>
      </c>
      <c r="H184" s="6">
        <f>SUM(H185:H192)</f>
      </c>
      <c r="I184" s="7">
        <f>SUM(I185:I192)</f>
      </c>
      <c r="J184" s="8">
        <f>IF(H184&gt;0,I184/H184,"")</f>
      </c>
      <c r="K184" s="6">
        <f>SUM(K185:K192)</f>
      </c>
      <c r="L184" s="7">
        <f>SUM(L185:L192)</f>
      </c>
      <c r="M184" s="8">
        <f>IF(K184&gt;0,L184/K184,"")</f>
      </c>
      <c r="N184" s="6">
        <f>SUM(N185:N192)</f>
      </c>
      <c r="O184" s="7">
        <f>SUM(O185:O192)</f>
      </c>
      <c r="P184" s="8">
        <f>IF(N184&gt;0,O184/N184,"")</f>
      </c>
      <c r="S184" s="14">
        <f>IF(B184&gt;0,C184/B184,"")</f>
      </c>
      <c r="T184" s="14">
        <f>IF(E184&gt;0,F184/E184,"")</f>
      </c>
      <c r="U184" s="14">
        <f>IF((H184+K184)&gt;0,(I184+L184)/(H184+K184),"")</f>
      </c>
      <c r="V184" s="14">
        <f>IF(N184&gt;0,O184/N184,"")</f>
      </c>
    </row>
    <row r="185">
      <c r="A185" s="9" t="s">
        <v>12</v>
      </c>
      <c r="B185" s="10"/>
      <c r="C185" s="11"/>
      <c r="D185" s="12"/>
      <c r="E185" s="10"/>
      <c r="F185" s="11"/>
      <c r="G185" s="12"/>
      <c r="H185" s="10"/>
      <c r="I185" s="11"/>
      <c r="J185" s="12"/>
      <c r="K185" s="10"/>
      <c r="L185" s="11"/>
      <c r="M185" s="12"/>
      <c r="N185" s="10"/>
      <c r="O185" s="11"/>
      <c r="P185" s="12"/>
      <c r="S185" s="9"/>
      <c r="T185" s="9"/>
      <c r="U185" s="9"/>
      <c r="V185" s="9"/>
    </row>
    <row r="186">
      <c r="A186" s="9" t="s">
        <v>13</v>
      </c>
      <c r="B186" s="10"/>
      <c r="C186" s="11"/>
      <c r="D186" s="12"/>
      <c r="E186" s="10"/>
      <c r="F186" s="11"/>
      <c r="G186" s="12"/>
      <c r="H186" s="10"/>
      <c r="I186" s="11"/>
      <c r="J186" s="12"/>
      <c r="K186" s="10">
        <v>5.54</v>
      </c>
      <c r="L186" s="11">
        <v>360.1</v>
      </c>
      <c r="M186" s="12">
        <f>IF(K186&gt;0,L186/K186,"")</f>
      </c>
      <c r="N186" s="10"/>
      <c r="O186" s="11"/>
      <c r="P186" s="12"/>
      <c r="S186" s="9"/>
      <c r="T186" s="9"/>
      <c r="U186" s="9"/>
      <c r="V186" s="9"/>
    </row>
    <row r="187">
      <c r="A187" s="9" t="s">
        <v>14</v>
      </c>
      <c r="B187" s="10"/>
      <c r="C187" s="11"/>
      <c r="D187" s="12"/>
      <c r="E187" s="10">
        <v>5.58</v>
      </c>
      <c r="F187" s="11">
        <v>474.3</v>
      </c>
      <c r="G187" s="12">
        <f>IF(E187&gt;0,F187/E187,"")</f>
      </c>
      <c r="H187" s="10"/>
      <c r="I187" s="11"/>
      <c r="J187" s="12"/>
      <c r="K187" s="10">
        <v>5.59</v>
      </c>
      <c r="L187" s="11">
        <v>363.35</v>
      </c>
      <c r="M187" s="12">
        <f>IF(K187&gt;0,L187/K187,"")</f>
      </c>
      <c r="N187" s="10"/>
      <c r="O187" s="11"/>
      <c r="P187" s="12"/>
      <c r="S187" s="9"/>
      <c r="T187" s="9"/>
      <c r="U187" s="9"/>
      <c r="V187" s="9"/>
    </row>
    <row r="188">
      <c r="A188" s="9" t="s">
        <v>15</v>
      </c>
      <c r="B188" s="10"/>
      <c r="C188" s="11"/>
      <c r="D188" s="12"/>
      <c r="E188" s="10"/>
      <c r="F188" s="11"/>
      <c r="G188" s="12"/>
      <c r="H188" s="10">
        <v>11.19</v>
      </c>
      <c r="I188" s="11">
        <v>1090.99</v>
      </c>
      <c r="J188" s="12">
        <f>IF(H188&gt;0,I188/H188,"")</f>
      </c>
      <c r="K188" s="10"/>
      <c r="L188" s="11"/>
      <c r="M188" s="12"/>
      <c r="N188" s="10"/>
      <c r="O188" s="11"/>
      <c r="P188" s="12"/>
      <c r="S188" s="9"/>
      <c r="T188" s="9"/>
      <c r="U188" s="9"/>
      <c r="V188" s="9"/>
    </row>
    <row r="189">
      <c r="A189" s="9" t="s">
        <v>16</v>
      </c>
      <c r="B189" s="10"/>
      <c r="C189" s="11"/>
      <c r="D189" s="12"/>
      <c r="E189" s="10"/>
      <c r="F189" s="11"/>
      <c r="G189" s="12"/>
      <c r="H189" s="10"/>
      <c r="I189" s="11"/>
      <c r="J189" s="12"/>
      <c r="K189" s="10"/>
      <c r="L189" s="11"/>
      <c r="M189" s="12"/>
      <c r="N189" s="10"/>
      <c r="O189" s="11"/>
      <c r="P189" s="12"/>
      <c r="S189" s="9"/>
      <c r="T189" s="9"/>
      <c r="U189" s="9"/>
      <c r="V189" s="9"/>
    </row>
    <row r="190">
      <c r="A190" s="9" t="s">
        <v>17</v>
      </c>
      <c r="B190" s="10"/>
      <c r="C190" s="11"/>
      <c r="D190" s="12"/>
      <c r="E190" s="10"/>
      <c r="F190" s="11"/>
      <c r="G190" s="12"/>
      <c r="H190" s="10"/>
      <c r="I190" s="11"/>
      <c r="J190" s="12"/>
      <c r="K190" s="10"/>
      <c r="L190" s="11"/>
      <c r="M190" s="12"/>
      <c r="N190" s="10"/>
      <c r="O190" s="11"/>
      <c r="P190" s="12"/>
      <c r="S190" s="9"/>
      <c r="T190" s="9"/>
      <c r="U190" s="9"/>
      <c r="V190" s="9"/>
    </row>
    <row r="191">
      <c r="A191" s="9" t="s">
        <v>18</v>
      </c>
      <c r="B191" s="10"/>
      <c r="C191" s="11"/>
      <c r="D191" s="12"/>
      <c r="E191" s="10"/>
      <c r="F191" s="11"/>
      <c r="G191" s="12"/>
      <c r="H191" s="10"/>
      <c r="I191" s="11"/>
      <c r="J191" s="12"/>
      <c r="K191" s="10"/>
      <c r="L191" s="11"/>
      <c r="M191" s="12"/>
      <c r="N191" s="10"/>
      <c r="O191" s="11"/>
      <c r="P191" s="12"/>
      <c r="S191" s="9"/>
      <c r="T191" s="9"/>
      <c r="U191" s="9"/>
      <c r="V191" s="9"/>
    </row>
    <row r="192">
      <c r="A192" s="9" t="s">
        <v>19</v>
      </c>
      <c r="B192" s="10"/>
      <c r="C192" s="11"/>
      <c r="D192" s="12"/>
      <c r="E192" s="10"/>
      <c r="F192" s="11"/>
      <c r="G192" s="12"/>
      <c r="H192" s="10"/>
      <c r="I192" s="11"/>
      <c r="J192" s="12"/>
      <c r="K192" s="10"/>
      <c r="L192" s="11"/>
      <c r="M192" s="12"/>
      <c r="N192" s="10"/>
      <c r="O192" s="11"/>
      <c r="P192" s="12"/>
      <c r="S192" s="9"/>
      <c r="T192" s="9"/>
      <c r="U192" s="9"/>
      <c r="V192" s="9"/>
    </row>
    <row r="193">
      <c r="A193" s="5" t="s">
        <v>40</v>
      </c>
      <c r="B193" s="6">
        <f>SUM(B194:B201)</f>
      </c>
      <c r="C193" s="7">
        <f>SUM(C194:C201)</f>
      </c>
      <c r="D193" s="8">
        <f>IF(B193&gt;0,C193/B193,"")</f>
      </c>
      <c r="E193" s="6">
        <f>SUM(E194:E201)</f>
      </c>
      <c r="F193" s="7">
        <f>SUM(F194:F201)</f>
      </c>
      <c r="G193" s="8">
        <f>IF(E193&gt;0,F193/E193,"")</f>
      </c>
      <c r="H193" s="6">
        <f>SUM(H194:H201)</f>
      </c>
      <c r="I193" s="7">
        <f>SUM(I194:I201)</f>
      </c>
      <c r="J193" s="8">
        <f>IF(H193&gt;0,I193/H193,"")</f>
      </c>
      <c r="K193" s="6">
        <f>SUM(K194:K201)</f>
      </c>
      <c r="L193" s="7">
        <f>SUM(L194:L201)</f>
      </c>
      <c r="M193" s="8">
        <f>IF(K193&gt;0,L193/K193,"")</f>
      </c>
      <c r="N193" s="6">
        <f>SUM(N194:N201)</f>
      </c>
      <c r="O193" s="7">
        <f>SUM(O194:O201)</f>
      </c>
      <c r="P193" s="8">
        <f>IF(N193&gt;0,O193/N193,"")</f>
      </c>
      <c r="S193" s="14">
        <f>IF(B193&gt;0,C193/B193,"")</f>
      </c>
      <c r="T193" s="14">
        <f>IF(E193&gt;0,F193/E193,"")</f>
      </c>
      <c r="U193" s="14">
        <f>IF((H193+K193)&gt;0,(I193+L193)/(H193+K193),"")</f>
      </c>
      <c r="V193" s="14">
        <f>IF(N193&gt;0,O193/N193,"")</f>
      </c>
    </row>
    <row r="194">
      <c r="A194" s="9" t="s">
        <v>12</v>
      </c>
      <c r="B194" s="10"/>
      <c r="C194" s="11"/>
      <c r="D194" s="12"/>
      <c r="E194" s="10"/>
      <c r="F194" s="11"/>
      <c r="G194" s="12"/>
      <c r="H194" s="10"/>
      <c r="I194" s="11"/>
      <c r="J194" s="12"/>
      <c r="K194" s="10"/>
      <c r="L194" s="11"/>
      <c r="M194" s="12"/>
      <c r="N194" s="10"/>
      <c r="O194" s="11"/>
      <c r="P194" s="12"/>
      <c r="S194" s="9"/>
      <c r="T194" s="9"/>
      <c r="U194" s="9"/>
      <c r="V194" s="9"/>
    </row>
    <row r="195">
      <c r="A195" s="9" t="s">
        <v>13</v>
      </c>
      <c r="B195" s="10"/>
      <c r="C195" s="11"/>
      <c r="D195" s="12"/>
      <c r="E195" s="10"/>
      <c r="F195" s="11"/>
      <c r="G195" s="12"/>
      <c r="H195" s="10"/>
      <c r="I195" s="11"/>
      <c r="J195" s="12"/>
      <c r="K195" s="10"/>
      <c r="L195" s="11"/>
      <c r="M195" s="12"/>
      <c r="N195" s="10"/>
      <c r="O195" s="11"/>
      <c r="P195" s="12"/>
      <c r="S195" s="9"/>
      <c r="T195" s="9"/>
      <c r="U195" s="9"/>
      <c r="V195" s="9"/>
    </row>
    <row r="196">
      <c r="A196" s="9" t="s">
        <v>14</v>
      </c>
      <c r="B196" s="10"/>
      <c r="C196" s="11"/>
      <c r="D196" s="12"/>
      <c r="E196" s="10">
        <v>6.1</v>
      </c>
      <c r="F196" s="11">
        <v>524.6</v>
      </c>
      <c r="G196" s="12">
        <f>IF(E196&gt;0,F196/E196,"")</f>
      </c>
      <c r="H196" s="10">
        <v>12.11</v>
      </c>
      <c r="I196" s="11">
        <v>1041.46</v>
      </c>
      <c r="J196" s="12">
        <f>IF(H196&gt;0,I196/H196,"")</f>
      </c>
      <c r="K196" s="10">
        <v>6.33</v>
      </c>
      <c r="L196" s="11">
        <v>411.45</v>
      </c>
      <c r="M196" s="12">
        <f>IF(K196&gt;0,L196/K196,"")</f>
      </c>
      <c r="N196" s="10"/>
      <c r="O196" s="11"/>
      <c r="P196" s="12"/>
      <c r="S196" s="9"/>
      <c r="T196" s="9"/>
      <c r="U196" s="9"/>
      <c r="V196" s="9"/>
    </row>
    <row r="197">
      <c r="A197" s="9" t="s">
        <v>15</v>
      </c>
      <c r="B197" s="10"/>
      <c r="C197" s="11"/>
      <c r="D197" s="12"/>
      <c r="E197" s="10"/>
      <c r="F197" s="11"/>
      <c r="G197" s="12"/>
      <c r="H197" s="10"/>
      <c r="I197" s="11"/>
      <c r="J197" s="12"/>
      <c r="K197" s="10">
        <v>6.01</v>
      </c>
      <c r="L197" s="11">
        <v>390.65</v>
      </c>
      <c r="M197" s="12">
        <f>IF(K197&gt;0,L197/K197,"")</f>
      </c>
      <c r="N197" s="10"/>
      <c r="O197" s="11"/>
      <c r="P197" s="12"/>
      <c r="S197" s="9"/>
      <c r="T197" s="9"/>
      <c r="U197" s="9"/>
      <c r="V197" s="9"/>
    </row>
    <row r="198">
      <c r="A198" s="9" t="s">
        <v>16</v>
      </c>
      <c r="B198" s="10"/>
      <c r="C198" s="11"/>
      <c r="D198" s="12"/>
      <c r="E198" s="10"/>
      <c r="F198" s="11"/>
      <c r="G198" s="12"/>
      <c r="H198" s="10"/>
      <c r="I198" s="11"/>
      <c r="J198" s="12"/>
      <c r="K198" s="10"/>
      <c r="L198" s="11"/>
      <c r="M198" s="12"/>
      <c r="N198" s="10"/>
      <c r="O198" s="11"/>
      <c r="P198" s="12"/>
      <c r="S198" s="9"/>
      <c r="T198" s="9"/>
      <c r="U198" s="9"/>
      <c r="V198" s="9"/>
    </row>
    <row r="199">
      <c r="A199" s="9" t="s">
        <v>17</v>
      </c>
      <c r="B199" s="10"/>
      <c r="C199" s="11"/>
      <c r="D199" s="12"/>
      <c r="E199" s="10"/>
      <c r="F199" s="11"/>
      <c r="G199" s="12"/>
      <c r="H199" s="10"/>
      <c r="I199" s="11"/>
      <c r="J199" s="12"/>
      <c r="K199" s="10"/>
      <c r="L199" s="11"/>
      <c r="M199" s="12"/>
      <c r="N199" s="10"/>
      <c r="O199" s="11"/>
      <c r="P199" s="12"/>
      <c r="S199" s="9"/>
      <c r="T199" s="9"/>
      <c r="U199" s="9"/>
      <c r="V199" s="9"/>
    </row>
    <row r="200">
      <c r="A200" s="9" t="s">
        <v>18</v>
      </c>
      <c r="B200" s="10"/>
      <c r="C200" s="11"/>
      <c r="D200" s="12"/>
      <c r="E200" s="10"/>
      <c r="F200" s="11"/>
      <c r="G200" s="12"/>
      <c r="H200" s="10"/>
      <c r="I200" s="11"/>
      <c r="J200" s="12"/>
      <c r="K200" s="10"/>
      <c r="L200" s="11"/>
      <c r="M200" s="12"/>
      <c r="N200" s="10"/>
      <c r="O200" s="11"/>
      <c r="P200" s="12"/>
      <c r="S200" s="9"/>
      <c r="T200" s="9"/>
      <c r="U200" s="9"/>
      <c r="V200" s="9"/>
    </row>
    <row r="201">
      <c r="A201" s="9" t="s">
        <v>19</v>
      </c>
      <c r="B201" s="10"/>
      <c r="C201" s="11"/>
      <c r="D201" s="12"/>
      <c r="E201" s="10"/>
      <c r="F201" s="11"/>
      <c r="G201" s="12"/>
      <c r="H201" s="10"/>
      <c r="I201" s="11"/>
      <c r="J201" s="12"/>
      <c r="K201" s="10"/>
      <c r="L201" s="11"/>
      <c r="M201" s="12"/>
      <c r="N201" s="10"/>
      <c r="O201" s="11"/>
      <c r="P201" s="12"/>
      <c r="S201" s="9"/>
      <c r="T201" s="9"/>
      <c r="U201" s="9"/>
      <c r="V201" s="9"/>
    </row>
    <row r="202">
      <c r="A202" s="5" t="s">
        <v>41</v>
      </c>
      <c r="B202" s="6">
        <f>SUM(B203:B210)</f>
      </c>
      <c r="C202" s="7">
        <f>SUM(C203:C210)</f>
      </c>
      <c r="D202" s="8">
        <f>IF(B202&gt;0,C202/B202,"")</f>
      </c>
      <c r="E202" s="6">
        <f>SUM(E203:E210)</f>
      </c>
      <c r="F202" s="7">
        <f>SUM(F203:F210)</f>
      </c>
      <c r="G202" s="8">
        <f>IF(E202&gt;0,F202/E202,"")</f>
      </c>
      <c r="H202" s="6">
        <f>SUM(H203:H210)</f>
      </c>
      <c r="I202" s="7">
        <f>SUM(I203:I210)</f>
      </c>
      <c r="J202" s="8">
        <f>IF(H202&gt;0,I202/H202,"")</f>
      </c>
      <c r="K202" s="6">
        <f>SUM(K203:K210)</f>
      </c>
      <c r="L202" s="7">
        <f>SUM(L203:L210)</f>
      </c>
      <c r="M202" s="8">
        <f>IF(K202&gt;0,L202/K202,"")</f>
      </c>
      <c r="N202" s="6">
        <f>SUM(N203:N210)</f>
      </c>
      <c r="O202" s="7">
        <f>SUM(O203:O210)</f>
      </c>
      <c r="P202" s="8">
        <f>IF(N202&gt;0,O202/N202,"")</f>
      </c>
      <c r="S202" s="14">
        <f>IF(B202&gt;0,C202/B202,"")</f>
      </c>
      <c r="T202" s="14">
        <f>IF(E202&gt;0,F202/E202,"")</f>
      </c>
      <c r="U202" s="14">
        <f>IF((H202+K202)&gt;0,(I202+L202)/(H202+K202),"")</f>
      </c>
      <c r="V202" s="14">
        <f>IF(N202&gt;0,O202/N202,"")</f>
      </c>
    </row>
    <row r="203">
      <c r="A203" s="9" t="s">
        <v>12</v>
      </c>
      <c r="B203" s="10"/>
      <c r="C203" s="11"/>
      <c r="D203" s="12"/>
      <c r="E203" s="10"/>
      <c r="F203" s="11"/>
      <c r="G203" s="12"/>
      <c r="H203" s="10"/>
      <c r="I203" s="11"/>
      <c r="J203" s="12"/>
      <c r="K203" s="10"/>
      <c r="L203" s="11"/>
      <c r="M203" s="12"/>
      <c r="N203" s="10"/>
      <c r="O203" s="11"/>
      <c r="P203" s="12"/>
      <c r="S203" s="9"/>
      <c r="T203" s="9"/>
      <c r="U203" s="9"/>
      <c r="V203" s="9"/>
    </row>
    <row r="204">
      <c r="A204" s="9" t="s">
        <v>13</v>
      </c>
      <c r="B204" s="10"/>
      <c r="C204" s="11"/>
      <c r="D204" s="12"/>
      <c r="E204" s="10"/>
      <c r="F204" s="11"/>
      <c r="G204" s="12"/>
      <c r="H204" s="10">
        <v>7.15</v>
      </c>
      <c r="I204" s="11">
        <v>915.2</v>
      </c>
      <c r="J204" s="12">
        <f>IF(H204&gt;0,I204/H204,"")</f>
      </c>
      <c r="K204" s="10"/>
      <c r="L204" s="11"/>
      <c r="M204" s="12"/>
      <c r="N204" s="10"/>
      <c r="O204" s="11"/>
      <c r="P204" s="12"/>
      <c r="S204" s="9"/>
      <c r="T204" s="9"/>
      <c r="U204" s="9"/>
      <c r="V204" s="9"/>
    </row>
    <row r="205">
      <c r="A205" s="9" t="s">
        <v>14</v>
      </c>
      <c r="B205" s="10"/>
      <c r="C205" s="11"/>
      <c r="D205" s="12"/>
      <c r="E205" s="10">
        <v>7.19</v>
      </c>
      <c r="F205" s="11">
        <v>913.13</v>
      </c>
      <c r="G205" s="12">
        <f>IF(E205&gt;0,F205/E205,"")</f>
      </c>
      <c r="H205" s="10"/>
      <c r="I205" s="11"/>
      <c r="J205" s="12"/>
      <c r="K205" s="10"/>
      <c r="L205" s="11"/>
      <c r="M205" s="12"/>
      <c r="N205" s="10"/>
      <c r="O205" s="11"/>
      <c r="P205" s="12"/>
      <c r="S205" s="9"/>
      <c r="T205" s="9"/>
      <c r="U205" s="9"/>
      <c r="V205" s="9"/>
    </row>
    <row r="206">
      <c r="A206" s="9" t="s">
        <v>15</v>
      </c>
      <c r="B206" s="10"/>
      <c r="C206" s="11"/>
      <c r="D206" s="12"/>
      <c r="E206" s="10"/>
      <c r="F206" s="11"/>
      <c r="G206" s="12"/>
      <c r="H206" s="10"/>
      <c r="I206" s="11"/>
      <c r="J206" s="12"/>
      <c r="K206" s="10"/>
      <c r="L206" s="11"/>
      <c r="M206" s="12"/>
      <c r="N206" s="10"/>
      <c r="O206" s="11"/>
      <c r="P206" s="12"/>
      <c r="S206" s="9"/>
      <c r="T206" s="9"/>
      <c r="U206" s="9"/>
      <c r="V206" s="9"/>
    </row>
    <row r="207">
      <c r="A207" s="9" t="s">
        <v>16</v>
      </c>
      <c r="B207" s="10"/>
      <c r="C207" s="11"/>
      <c r="D207" s="12"/>
      <c r="E207" s="10"/>
      <c r="F207" s="11"/>
      <c r="G207" s="12"/>
      <c r="H207" s="10"/>
      <c r="I207" s="11"/>
      <c r="J207" s="12"/>
      <c r="K207" s="10"/>
      <c r="L207" s="11"/>
      <c r="M207" s="12"/>
      <c r="N207" s="10"/>
      <c r="O207" s="11"/>
      <c r="P207" s="12"/>
      <c r="S207" s="9"/>
      <c r="T207" s="9"/>
      <c r="U207" s="9"/>
      <c r="V207" s="9"/>
    </row>
    <row r="208">
      <c r="A208" s="9" t="s">
        <v>17</v>
      </c>
      <c r="B208" s="10"/>
      <c r="C208" s="11"/>
      <c r="D208" s="12"/>
      <c r="E208" s="10"/>
      <c r="F208" s="11"/>
      <c r="G208" s="12"/>
      <c r="H208" s="10"/>
      <c r="I208" s="11"/>
      <c r="J208" s="12"/>
      <c r="K208" s="10"/>
      <c r="L208" s="11"/>
      <c r="M208" s="12"/>
      <c r="N208" s="10"/>
      <c r="O208" s="11"/>
      <c r="P208" s="12"/>
      <c r="S208" s="9"/>
      <c r="T208" s="9"/>
      <c r="U208" s="9"/>
      <c r="V208" s="9"/>
    </row>
    <row r="209">
      <c r="A209" s="9" t="s">
        <v>18</v>
      </c>
      <c r="B209" s="10"/>
      <c r="C209" s="11"/>
      <c r="D209" s="12"/>
      <c r="E209" s="10"/>
      <c r="F209" s="11"/>
      <c r="G209" s="12"/>
      <c r="H209" s="10"/>
      <c r="I209" s="11"/>
      <c r="J209" s="12"/>
      <c r="K209" s="10"/>
      <c r="L209" s="11"/>
      <c r="M209" s="12"/>
      <c r="N209" s="10"/>
      <c r="O209" s="11"/>
      <c r="P209" s="12"/>
      <c r="S209" s="9"/>
      <c r="T209" s="9"/>
      <c r="U209" s="9"/>
      <c r="V209" s="9"/>
    </row>
    <row r="210">
      <c r="A210" s="9" t="s">
        <v>19</v>
      </c>
      <c r="B210" s="10"/>
      <c r="C210" s="11"/>
      <c r="D210" s="12"/>
      <c r="E210" s="10"/>
      <c r="F210" s="11"/>
      <c r="G210" s="12"/>
      <c r="H210" s="10"/>
      <c r="I210" s="11"/>
      <c r="J210" s="12"/>
      <c r="K210" s="10"/>
      <c r="L210" s="11"/>
      <c r="M210" s="12"/>
      <c r="N210" s="10"/>
      <c r="O210" s="11"/>
      <c r="P210" s="12"/>
      <c r="S210" s="9"/>
      <c r="T210" s="9"/>
      <c r="U210" s="9"/>
      <c r="V210" s="9"/>
    </row>
    <row r="211">
      <c r="A211" s="5" t="s">
        <v>42</v>
      </c>
      <c r="B211" s="6">
        <f>SUM(B212:B219)</f>
      </c>
      <c r="C211" s="7">
        <f>SUM(C212:C219)</f>
      </c>
      <c r="D211" s="8">
        <f>IF(B211&gt;0,C211/B211,"")</f>
      </c>
      <c r="E211" s="6">
        <f>SUM(E212:E219)</f>
      </c>
      <c r="F211" s="7">
        <f>SUM(F212:F219)</f>
      </c>
      <c r="G211" s="8">
        <f>IF(E211&gt;0,F211/E211,"")</f>
      </c>
      <c r="H211" s="6">
        <f>SUM(H212:H219)</f>
      </c>
      <c r="I211" s="7">
        <f>SUM(I212:I219)</f>
      </c>
      <c r="J211" s="8">
        <f>IF(H211&gt;0,I211/H211,"")</f>
      </c>
      <c r="K211" s="6">
        <f>SUM(K212:K219)</f>
      </c>
      <c r="L211" s="7">
        <f>SUM(L212:L219)</f>
      </c>
      <c r="M211" s="8">
        <f>IF(K211&gt;0,L211/K211,"")</f>
      </c>
      <c r="N211" s="6">
        <f>SUM(N212:N219)</f>
      </c>
      <c r="O211" s="7">
        <f>SUM(O212:O219)</f>
      </c>
      <c r="P211" s="8">
        <f>IF(N211&gt;0,O211/N211,"")</f>
      </c>
      <c r="S211" s="14">
        <f>IF(B211&gt;0,C211/B211,"")</f>
      </c>
      <c r="T211" s="14">
        <f>IF(E211&gt;0,F211/E211,"")</f>
      </c>
      <c r="U211" s="14">
        <f>IF((H211+K211)&gt;0,(I211+L211)/(H211+K211),"")</f>
      </c>
      <c r="V211" s="14">
        <f>IF(N211&gt;0,O211/N211,"")</f>
      </c>
    </row>
    <row r="212">
      <c r="A212" s="9" t="s">
        <v>12</v>
      </c>
      <c r="B212" s="10"/>
      <c r="C212" s="11"/>
      <c r="D212" s="12"/>
      <c r="E212" s="10"/>
      <c r="F212" s="11"/>
      <c r="G212" s="12"/>
      <c r="H212" s="10"/>
      <c r="I212" s="11"/>
      <c r="J212" s="12"/>
      <c r="K212" s="10"/>
      <c r="L212" s="11"/>
      <c r="M212" s="12"/>
      <c r="N212" s="10"/>
      <c r="O212" s="11"/>
      <c r="P212" s="12"/>
      <c r="S212" s="9"/>
      <c r="T212" s="9"/>
      <c r="U212" s="9"/>
      <c r="V212" s="9"/>
    </row>
    <row r="213">
      <c r="A213" s="9" t="s">
        <v>13</v>
      </c>
      <c r="B213" s="10"/>
      <c r="C213" s="11"/>
      <c r="D213" s="12"/>
      <c r="E213" s="10">
        <v>10.27</v>
      </c>
      <c r="F213" s="11">
        <v>2321.02</v>
      </c>
      <c r="G213" s="12">
        <f>IF(E213&gt;0,F213/E213,"")</f>
      </c>
      <c r="H213" s="10"/>
      <c r="I213" s="11"/>
      <c r="J213" s="12"/>
      <c r="K213" s="10"/>
      <c r="L213" s="11"/>
      <c r="M213" s="12"/>
      <c r="N213" s="10"/>
      <c r="O213" s="11"/>
      <c r="P213" s="12"/>
      <c r="S213" s="9"/>
      <c r="T213" s="9"/>
      <c r="U213" s="9"/>
      <c r="V213" s="9"/>
    </row>
    <row r="214">
      <c r="A214" s="9" t="s">
        <v>14</v>
      </c>
      <c r="B214" s="10"/>
      <c r="C214" s="11"/>
      <c r="D214" s="12"/>
      <c r="E214" s="10"/>
      <c r="F214" s="11"/>
      <c r="G214" s="12"/>
      <c r="H214" s="10"/>
      <c r="I214" s="11"/>
      <c r="J214" s="12"/>
      <c r="K214" s="10"/>
      <c r="L214" s="11"/>
      <c r="M214" s="12"/>
      <c r="N214" s="10"/>
      <c r="O214" s="11"/>
      <c r="P214" s="12"/>
      <c r="S214" s="9"/>
      <c r="T214" s="9"/>
      <c r="U214" s="9"/>
      <c r="V214" s="9"/>
    </row>
    <row r="215">
      <c r="A215" s="9" t="s">
        <v>15</v>
      </c>
      <c r="B215" s="10"/>
      <c r="C215" s="11"/>
      <c r="D215" s="12"/>
      <c r="E215" s="10"/>
      <c r="F215" s="11"/>
      <c r="G215" s="12"/>
      <c r="H215" s="10"/>
      <c r="I215" s="11"/>
      <c r="J215" s="12"/>
      <c r="K215" s="10"/>
      <c r="L215" s="11"/>
      <c r="M215" s="12"/>
      <c r="N215" s="10"/>
      <c r="O215" s="11"/>
      <c r="P215" s="12"/>
      <c r="S215" s="9"/>
      <c r="T215" s="9"/>
      <c r="U215" s="9"/>
      <c r="V215" s="9"/>
    </row>
    <row r="216">
      <c r="A216" s="9" t="s">
        <v>16</v>
      </c>
      <c r="B216" s="10"/>
      <c r="C216" s="11"/>
      <c r="D216" s="12"/>
      <c r="E216" s="10"/>
      <c r="F216" s="11"/>
      <c r="G216" s="12"/>
      <c r="H216" s="10"/>
      <c r="I216" s="11"/>
      <c r="J216" s="12"/>
      <c r="K216" s="10"/>
      <c r="L216" s="11"/>
      <c r="M216" s="12"/>
      <c r="N216" s="10"/>
      <c r="O216" s="11"/>
      <c r="P216" s="12"/>
      <c r="S216" s="9"/>
      <c r="T216" s="9"/>
      <c r="U216" s="9"/>
      <c r="V216" s="9"/>
    </row>
    <row r="217">
      <c r="A217" s="9" t="s">
        <v>17</v>
      </c>
      <c r="B217" s="10"/>
      <c r="C217" s="11"/>
      <c r="D217" s="12"/>
      <c r="E217" s="10"/>
      <c r="F217" s="11"/>
      <c r="G217" s="12"/>
      <c r="H217" s="10"/>
      <c r="I217" s="11"/>
      <c r="J217" s="12"/>
      <c r="K217" s="10"/>
      <c r="L217" s="11"/>
      <c r="M217" s="12"/>
      <c r="N217" s="10"/>
      <c r="O217" s="11"/>
      <c r="P217" s="12"/>
      <c r="S217" s="9"/>
      <c r="T217" s="9"/>
      <c r="U217" s="9"/>
      <c r="V217" s="9"/>
    </row>
    <row r="218">
      <c r="A218" s="9" t="s">
        <v>18</v>
      </c>
      <c r="B218" s="10"/>
      <c r="C218" s="11"/>
      <c r="D218" s="12"/>
      <c r="E218" s="10"/>
      <c r="F218" s="11"/>
      <c r="G218" s="12"/>
      <c r="H218" s="10"/>
      <c r="I218" s="11"/>
      <c r="J218" s="12"/>
      <c r="K218" s="10"/>
      <c r="L218" s="11"/>
      <c r="M218" s="12"/>
      <c r="N218" s="10"/>
      <c r="O218" s="11"/>
      <c r="P218" s="12"/>
      <c r="S218" s="9"/>
      <c r="T218" s="9"/>
      <c r="U218" s="9"/>
      <c r="V218" s="9"/>
    </row>
    <row r="219">
      <c r="A219" s="9" t="s">
        <v>19</v>
      </c>
      <c r="B219" s="10"/>
      <c r="C219" s="11"/>
      <c r="D219" s="12"/>
      <c r="E219" s="10"/>
      <c r="F219" s="11"/>
      <c r="G219" s="12"/>
      <c r="H219" s="10"/>
      <c r="I219" s="11"/>
      <c r="J219" s="12"/>
      <c r="K219" s="10"/>
      <c r="L219" s="11"/>
      <c r="M219" s="12"/>
      <c r="N219" s="10"/>
      <c r="O219" s="11"/>
      <c r="P219" s="12"/>
      <c r="S219" s="9"/>
      <c r="T219" s="9"/>
      <c r="U219" s="9"/>
      <c r="V219" s="9"/>
    </row>
  </sheetData>
  <mergeCells>
    <mergeCell ref="A1:V1"/>
    <mergeCell ref="B2:D2"/>
    <mergeCell ref="E2:G2"/>
    <mergeCell ref="H2:J2"/>
    <mergeCell ref="K2:M2"/>
    <mergeCell ref="N2:P2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A2"/>
  <sheetViews>
    <sheetView workbookViewId="0" showGridLines="1"/>
  </sheetViews>
  <sheetFormatPr defaultRowHeight="15"/>
  <cols>
    <col min="1" max="1" width="9.140625" customWidth="1"/>
    <col min="2" max="2" width="11.2289762496948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73842144012451" customWidth="1"/>
    <col min="11" max="11" width="9.140625" customWidth="1"/>
    <col min="12" max="12" width="9.140625" customWidth="1"/>
    <col min="13" max="13" width="9.68181800842285" customWidth="1"/>
    <col min="14" max="14" width="11.5954751968384" customWidth="1"/>
    <col min="15" max="15" width="9.140625" customWidth="1"/>
    <col min="16" max="16" width="16.4966926574707" customWidth="1"/>
    <col min="17" max="17" width="9.21915149688721" customWidth="1"/>
    <col min="18" max="18" width="9.140625" customWidth="1"/>
    <col min="19" max="19" width="9.140625" customWidth="1"/>
    <col min="20" max="20" width="9.37076091766357" customWidth="1"/>
    <col min="21" max="21" width="9.140625" customWidth="1"/>
    <col min="22" max="22" width="10.7639646530151" customWidth="1"/>
    <col min="23" max="23" width="12.7436428070068" customWidth="1"/>
    <col min="24" max="24" width="16.7607326507568" customWidth="1"/>
    <col min="25" max="25" width="17.4757347106934" customWidth="1"/>
    <col min="26" max="26" width="11.9088773727417" customWidth="1"/>
    <col min="27" max="27" width="10.975884437561" customWidth="1"/>
    <col min="28" max="28" width="12.5891351699829" customWidth="1"/>
    <col min="29" max="29" width="11.9093475341797" customWidth="1"/>
    <col min="30" max="30" width="11.8076982498169" customWidth="1"/>
    <col min="31" max="31" width="12.9617586135864" customWidth="1"/>
    <col min="32" max="32" width="12.3175382614136" customWidth="1"/>
    <col min="33" max="33" width="9.140625" customWidth="1"/>
    <col min="34" max="34" width="9.140625" customWidth="1"/>
    <col min="35" max="35" width="9.140625" customWidth="1"/>
    <col min="36" max="36" width="13.7364339828491" customWidth="1"/>
    <col min="37" max="37" width="9.140625" customWidth="1"/>
    <col min="38" max="38" width="9.140625" customWidth="1"/>
    <col min="39" max="39" width="10.9748563766479" customWidth="1"/>
    <col min="40" max="40" width="9.140625" customWidth="1"/>
    <col min="41" max="41" width="14.5852975845337" customWidth="1"/>
    <col min="42" max="42" width="9.140625" customWidth="1"/>
    <col min="43" max="43" width="10.8201847076416" customWidth="1"/>
    <col min="44" max="44" width="9.140625" customWidth="1"/>
    <col min="45" max="45" width="9.16132259368896" customWidth="1"/>
    <col min="46" max="46" width="9.140625" customWidth="1"/>
    <col min="47" max="47" width="9.89054298400879" customWidth="1"/>
    <col min="48" max="48" width="9.140625" customWidth="1"/>
    <col min="49" max="49" width="9.62378597259521" customWidth="1"/>
    <col min="50" max="50" width="9.140625" customWidth="1"/>
    <col min="51" max="51" width="9.140625" customWidth="1"/>
    <col min="52" max="52" width="9.140625" customWidth="1"/>
    <col min="53" max="53" width="9.140625" customWidth="1"/>
  </cols>
  <sheetData>
    <row r="1">
      <c r="A1" s="17" t="s">
        <v>43</v>
      </c>
      <c r="B1" s="16" t="s">
        <v>44</v>
      </c>
      <c r="C1" s="16" t="s">
        <v>45</v>
      </c>
      <c r="D1" s="16" t="s">
        <v>8</v>
      </c>
      <c r="E1" s="16" t="s">
        <v>46</v>
      </c>
      <c r="F1" s="16" t="s">
        <v>47</v>
      </c>
      <c r="G1" s="16" t="s">
        <v>48</v>
      </c>
      <c r="H1" s="16" t="s">
        <v>49</v>
      </c>
      <c r="I1" s="16" t="s">
        <v>50</v>
      </c>
      <c r="J1" s="16" t="s">
        <v>51</v>
      </c>
      <c r="K1" s="16" t="s">
        <v>52</v>
      </c>
      <c r="L1" s="16" t="s">
        <v>53</v>
      </c>
      <c r="M1" s="16" t="s">
        <v>54</v>
      </c>
      <c r="N1" s="16" t="s">
        <v>55</v>
      </c>
      <c r="O1" s="16" t="s">
        <v>56</v>
      </c>
      <c r="P1" s="16" t="s">
        <v>57</v>
      </c>
      <c r="Q1" s="16" t="s">
        <v>58</v>
      </c>
      <c r="R1" s="16" t="s">
        <v>59</v>
      </c>
      <c r="S1" s="16" t="s">
        <v>60</v>
      </c>
      <c r="T1" s="16" t="s">
        <v>61</v>
      </c>
      <c r="U1" s="16" t="s">
        <v>62</v>
      </c>
      <c r="V1" s="16" t="s">
        <v>63</v>
      </c>
      <c r="W1" s="16" t="s">
        <v>64</v>
      </c>
      <c r="X1" s="16" t="s">
        <v>65</v>
      </c>
      <c r="Y1" s="16" t="s">
        <v>66</v>
      </c>
      <c r="Z1" s="16" t="s">
        <v>67</v>
      </c>
      <c r="AA1" s="16" t="s">
        <v>68</v>
      </c>
      <c r="AB1" s="16" t="s">
        <v>69</v>
      </c>
      <c r="AC1" s="16" t="s">
        <v>70</v>
      </c>
      <c r="AD1" s="16" t="s">
        <v>71</v>
      </c>
      <c r="AE1" s="16" t="s">
        <v>72</v>
      </c>
      <c r="AF1" s="16" t="s">
        <v>73</v>
      </c>
      <c r="AG1" s="16" t="s">
        <v>74</v>
      </c>
      <c r="AH1" s="16" t="s">
        <v>75</v>
      </c>
      <c r="AI1" s="16" t="s">
        <v>76</v>
      </c>
      <c r="AJ1" s="16" t="s">
        <v>77</v>
      </c>
      <c r="AK1" s="16" t="s">
        <v>78</v>
      </c>
      <c r="AL1" s="16" t="s">
        <v>79</v>
      </c>
      <c r="AM1" s="16" t="s">
        <v>80</v>
      </c>
      <c r="AN1" s="16" t="s">
        <v>81</v>
      </c>
      <c r="AO1" s="16" t="s">
        <v>82</v>
      </c>
      <c r="AP1" s="16" t="s">
        <v>83</v>
      </c>
      <c r="AQ1" s="16" t="s">
        <v>84</v>
      </c>
      <c r="AR1" s="16" t="s">
        <v>85</v>
      </c>
      <c r="AS1" s="16" t="s">
        <v>86</v>
      </c>
      <c r="AT1" s="16" t="s">
        <v>87</v>
      </c>
      <c r="AU1" s="16" t="s">
        <v>88</v>
      </c>
      <c r="AV1" s="16" t="s">
        <v>89</v>
      </c>
      <c r="AW1" s="16" t="s">
        <v>90</v>
      </c>
      <c r="AX1" s="16" t="s">
        <v>91</v>
      </c>
      <c r="AY1" s="16" t="s">
        <v>92</v>
      </c>
      <c r="AZ1" s="18" t="s">
        <v>93</v>
      </c>
      <c r="BA1" s="15"/>
    </row>
    <row r="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</row>
  </sheetData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Sales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