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</sheets>
  <calcPr fullCalcOnLoad="1" fullPrecision="1"/>
</workbook>
</file>

<file path=xl/sharedStrings.xml><?xml version="1.0" encoding="utf-8"?>
<sst xmlns="http://schemas.openxmlformats.org/spreadsheetml/2006/main" count="48" uniqueCount="48">
  <si>
    <t>03-06-2026 MEMO &amp; HOLD</t>
  </si>
  <si>
    <t>SELLER</t>
  </si>
  <si>
    <t>MUMBAI</t>
  </si>
  <si>
    <t>NY</t>
  </si>
  <si>
    <t>Total Pcs</t>
  </si>
  <si>
    <t>Total Weight</t>
  </si>
  <si>
    <t>Total Total $</t>
  </si>
  <si>
    <t>Per Ct</t>
  </si>
  <si>
    <t>ONHOLD</t>
  </si>
  <si>
    <t>ONMEMO</t>
  </si>
  <si>
    <t>Total $</t>
  </si>
  <si>
    <t>Pcs</t>
  </si>
  <si>
    <t>Weight</t>
  </si>
  <si>
    <t>Anand Naliyadhara</t>
  </si>
  <si>
    <t>26-05-2026</t>
  </si>
  <si>
    <t>27-05-2026</t>
  </si>
  <si>
    <t>28-05-2026</t>
  </si>
  <si>
    <t>29-05-2026</t>
  </si>
  <si>
    <t>30-05-2026</t>
  </si>
  <si>
    <t>Asha Prajapati</t>
  </si>
  <si>
    <t>Chirag paneliya</t>
  </si>
  <si>
    <t>Hitesh Satani</t>
  </si>
  <si>
    <t>25-05-2026</t>
  </si>
  <si>
    <t>Jay</t>
  </si>
  <si>
    <t>04-04-2026</t>
  </si>
  <si>
    <t>Nirali kalsara</t>
  </si>
  <si>
    <t>Pankti</t>
  </si>
  <si>
    <t>03-04-2026</t>
  </si>
  <si>
    <t>ParthUSA</t>
  </si>
  <si>
    <t>02-04-2026</t>
  </si>
  <si>
    <t>10-04-2026</t>
  </si>
  <si>
    <t>13-04-2026</t>
  </si>
  <si>
    <t>Portal</t>
  </si>
  <si>
    <t>Ramesh</t>
  </si>
  <si>
    <t>16-04-2026</t>
  </si>
  <si>
    <t>14-05-2026</t>
  </si>
  <si>
    <t>Sahil</t>
  </si>
  <si>
    <t>22-04-2026</t>
  </si>
  <si>
    <t>24-04-2026</t>
  </si>
  <si>
    <t>01-05-2026</t>
  </si>
  <si>
    <t>08-05-2026</t>
  </si>
  <si>
    <t>09-05-2026</t>
  </si>
  <si>
    <t>11-05-2026</t>
  </si>
  <si>
    <t>12-05-2026</t>
  </si>
  <si>
    <t>21-05-2026</t>
  </si>
  <si>
    <t>22-05-2026</t>
  </si>
  <si>
    <t>Total</t>
  </si>
  <si>
    <t>%</t>
  </si>
</sst>
</file>

<file path=xl/styles.xml><?xml version="1.0" encoding="utf-8"?>
<styleSheet xmlns="http://schemas.openxmlformats.org/spreadsheetml/2006/main">
  <numFmts count="3">
    <numFmt numFmtId="164" formatCode="#,##0;-#,##0;&quot;&quot;"/>
    <numFmt numFmtId="165" formatCode="#,##0.000;-#,##0.000;&quot;&quot;"/>
    <numFmt numFmtId="166" formatCode="#,##0.00;-#,##0.00;&quot;&quot;"/>
  </numFmts>
  <fonts count="4">
    <font>
      <sz val="11"/>
      <name val="Aptos Narrow"/>
    </font>
    <font>
      <b/>
      <sz val="11"/>
      <name val="Aptos Narrow"/>
    </font>
    <font>
      <b/>
      <sz val="16"/>
      <color rgb="FFFFFFFF"/>
      <name val="Aptos Narrow"/>
    </font>
    <font>
      <b/>
      <sz val="11"/>
      <color rgb="FFFFFFFF"/>
      <name val="Aptos Narrow"/>
    </font>
  </fonts>
  <fills count="15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4472C4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F4B084"/>
      </patternFill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rgb="FF9BC2E6"/>
      </patternFill>
    </fill>
    <fill>
      <patternFill patternType="solid">
        <fgColor rgb="FFD9D9D9"/>
      </patternFill>
    </fill>
    <fill>
      <patternFill patternType="solid">
        <fgColor rgb="FFDDEBF7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7">
    <xf numFmtId="0" fontId="0" xfId="0"/>
    <xf numFmtId="0" fontId="0" xfId="0" applyAlignment="1">
      <alignment horizontal="center" vertical="center"/>
    </xf>
    <xf numFmtId="0" fontId="1" applyFont="1" xfId="0" applyAlignment="1">
      <alignment horizontal="center" vertical="center"/>
    </xf>
    <xf numFmtId="0" fontId="2" applyFont="1" fillId="2" applyFill="1" xfId="0" applyAlignment="1">
      <alignment horizontal="center" vertical="center"/>
    </xf>
    <xf numFmtId="0" fontId="1" applyFont="1" fillId="3" applyFill="1" borderId="1" applyBorder="1" xfId="0" applyAlignment="1">
      <alignment horizontal="center" vertical="center"/>
    </xf>
    <xf numFmtId="0" fontId="1" applyFont="1" fillId="4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0" fontId="3" applyFont="1" fillId="5" applyFill="1" borderId="1" applyBorder="1" xfId="0" applyAlignment="1">
      <alignment horizontal="center" vertical="center"/>
    </xf>
    <xf numFmtId="0" fontId="1" applyFont="1" fillId="12" applyFill="1" borderId="1" applyBorder="1" xfId="0" applyAlignment="1">
      <alignment horizontal="center" vertical="center"/>
    </xf>
    <xf numFmtId="0" fontId="1" applyFont="1" fillId="6" applyFill="1" borderId="1" applyBorder="1" xfId="0" applyAlignment="1">
      <alignment horizontal="center" vertical="center"/>
    </xf>
    <xf numFmtId="0" fontId="1" applyFont="1" fillId="7" applyFill="1" borderId="1" applyBorder="1" xfId="0" applyAlignment="1">
      <alignment horizontal="center" vertical="center"/>
    </xf>
    <xf numFmtId="0" fontId="1" applyFont="1" fillId="8" applyFill="1" borderId="1" applyBorder="1" xfId="0" applyAlignment="1">
      <alignment horizontal="center" vertical="center"/>
    </xf>
    <xf numFmtId="0" fontId="1" applyFont="1" fillId="9" applyFill="1" borderId="1" applyBorder="1" xfId="0" applyAlignment="1">
      <alignment horizontal="center" vertical="center"/>
    </xf>
    <xf numFmtId="0" fontId="1" applyFont="1" fillId="10" applyFill="1" borderId="1" applyBorder="1" xfId="0" applyAlignment="1">
      <alignment horizontal="center" vertical="center"/>
    </xf>
    <xf numFmtId="0" fontId="1" applyFont="1" fillId="11" applyFill="1" borderId="1" applyBorder="1" xfId="0" applyAlignment="1">
      <alignment horizontal="center" vertical="center"/>
    </xf>
    <xf numFmtId="0" fontId="1" applyFont="1" fillId="13" applyFill="1" borderId="1" applyBorder="1" xfId="0" applyAlignment="1">
      <alignment horizontal="center" vertical="center"/>
    </xf>
    <xf numFmtId="164" applyNumberFormat="1" fontId="1" applyFont="1" fillId="14" applyFill="1" borderId="1" applyBorder="1" xfId="0" applyAlignment="1">
      <alignment horizontal="center" vertical="center"/>
    </xf>
    <xf numFmtId="165" applyNumberFormat="1" fontId="1" applyFont="1" fillId="14" applyFill="1" borderId="1" applyBorder="1" xfId="0" applyAlignment="1">
      <alignment horizontal="center" vertical="center"/>
    </xf>
    <xf numFmtId="166" applyNumberFormat="1" fontId="1" applyFont="1" fillId="14" applyFill="1" borderId="1" applyBorder="1" xfId="0" applyAlignment="1">
      <alignment horizontal="center" vertical="center"/>
    </xf>
    <xf numFmtId="164" applyNumberFormat="1" fontId="0" borderId="1" applyBorder="1" xfId="0" applyAlignment="1">
      <alignment horizontal="center" vertical="center"/>
    </xf>
    <xf numFmtId="165" applyNumberFormat="1" fontId="0" borderId="1" applyBorder="1" xfId="0" applyAlignment="1">
      <alignment horizontal="center" vertical="center"/>
    </xf>
    <xf numFmtId="166" applyNumberFormat="1" fontId="0" borderId="1" applyBorder="1" xfId="0" applyAlignment="1">
      <alignment horizontal="center" vertical="center"/>
    </xf>
    <xf numFmtId="164" applyNumberFormat="1" fontId="1" applyFont="1" fillId="12" applyFill="1" borderId="1" applyBorder="1" xfId="0" applyAlignment="1">
      <alignment horizontal="center" vertical="center"/>
    </xf>
    <xf numFmtId="165" applyNumberFormat="1" fontId="1" applyFont="1" fillId="12" applyFill="1" borderId="1" applyBorder="1" xfId="0" applyAlignment="1">
      <alignment horizontal="center" vertical="center"/>
    </xf>
    <xf numFmtId="166" applyNumberFormat="1" fontId="1" applyFont="1" fillId="12" applyFill="1" borderId="1" applyBorder="1" xfId="0" applyAlignment="1">
      <alignment horizontal="center" vertical="center"/>
    </xf>
    <xf numFmtId="0" fontId="1" applyFont="1" fillId="14" applyFill="1" borderId="1" applyBorder="1" xfId="0" applyAlignment="1">
      <alignment horizontal="center" vertical="center"/>
    </xf>
    <xf numFmtId="10" applyNumberFormat="1" fontId="1" applyFont="1" fillId="14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59"/>
  <sheetViews>
    <sheetView workbookViewId="0" showGridLines="1"/>
  </sheetViews>
  <sheetFormatPr defaultRowHeight="15"/>
  <cols>
    <col min="1" max="1" width="19.3279705047607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43706703186035" customWidth="1" style="1"/>
    <col min="11" max="11" width="9.140625" customWidth="1" style="1"/>
    <col min="12" max="12" width="9.140625" customWidth="1" style="1"/>
    <col min="13" max="13" width="9.4370670318603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16384" width="9.140625" customWidth="1" style="1"/>
  </cols>
  <sheetData>
    <row r="1">
      <c r="A1" s="3" t="s">
        <v>0</v>
      </c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7" t="s">
        <v>3</v>
      </c>
      <c r="J2" s="6"/>
      <c r="K2" s="6"/>
      <c r="L2" s="6"/>
      <c r="M2" s="6"/>
      <c r="N2" s="6"/>
      <c r="O2" s="6"/>
      <c r="P2" s="8" t="s">
        <v>4</v>
      </c>
      <c r="Q2" s="8" t="s">
        <v>5</v>
      </c>
      <c r="R2" s="8" t="s">
        <v>6</v>
      </c>
      <c r="S2" s="8" t="s">
        <v>7</v>
      </c>
    </row>
    <row r="3">
      <c r="A3" s="6"/>
      <c r="B3" s="9" t="s">
        <v>8</v>
      </c>
      <c r="C3" s="6"/>
      <c r="D3" s="6"/>
      <c r="E3" s="10" t="s">
        <v>9</v>
      </c>
      <c r="F3" s="6"/>
      <c r="G3" s="6"/>
      <c r="H3" s="11" t="s">
        <v>10</v>
      </c>
      <c r="I3" s="12" t="s">
        <v>8</v>
      </c>
      <c r="J3" s="6"/>
      <c r="K3" s="6"/>
      <c r="L3" s="13" t="s">
        <v>9</v>
      </c>
      <c r="M3" s="6"/>
      <c r="N3" s="6"/>
      <c r="O3" s="14" t="s">
        <v>10</v>
      </c>
      <c r="P3" s="8"/>
      <c r="Q3" s="8"/>
      <c r="R3" s="8"/>
      <c r="S3" s="8"/>
    </row>
    <row r="4">
      <c r="A4" s="6"/>
      <c r="B4" s="9" t="s">
        <v>11</v>
      </c>
      <c r="C4" s="9" t="s">
        <v>12</v>
      </c>
      <c r="D4" s="9" t="s">
        <v>10</v>
      </c>
      <c r="E4" s="10" t="s">
        <v>11</v>
      </c>
      <c r="F4" s="10" t="s">
        <v>12</v>
      </c>
      <c r="G4" s="10" t="s">
        <v>10</v>
      </c>
      <c r="H4" s="6"/>
      <c r="I4" s="12" t="s">
        <v>11</v>
      </c>
      <c r="J4" s="12" t="s">
        <v>12</v>
      </c>
      <c r="K4" s="12" t="s">
        <v>10</v>
      </c>
      <c r="L4" s="13" t="s">
        <v>11</v>
      </c>
      <c r="M4" s="13" t="s">
        <v>12</v>
      </c>
      <c r="N4" s="13" t="s">
        <v>10</v>
      </c>
      <c r="O4" s="6"/>
      <c r="P4" s="8"/>
      <c r="Q4" s="8"/>
      <c r="R4" s="8"/>
      <c r="S4" s="8"/>
    </row>
    <row r="5" s="2" customFormat="1">
      <c r="A5" s="15" t="s">
        <v>13</v>
      </c>
      <c r="B5" s="16">
        <f>SUM(B6:B10)</f>
      </c>
      <c r="C5" s="17">
        <f>SUM(C6:C10)</f>
      </c>
      <c r="D5" s="16">
        <f>SUM(D6:D10)</f>
      </c>
      <c r="E5" s="16">
        <f>SUM(E6:E10)</f>
      </c>
      <c r="F5" s="17">
        <f>SUM(F6:F10)</f>
      </c>
      <c r="G5" s="16">
        <f>SUM(G6:G10)</f>
      </c>
      <c r="H5" s="16">
        <f>SUM(H6:H10)</f>
      </c>
      <c r="I5" s="16">
        <f>SUM(I6:I10)</f>
      </c>
      <c r="J5" s="17">
        <f>SUM(J6:J10)</f>
      </c>
      <c r="K5" s="16">
        <f>SUM(K6:K10)</f>
      </c>
      <c r="L5" s="16">
        <f>SUM(L6:L10)</f>
      </c>
      <c r="M5" s="17">
        <f>SUM(M6:M10)</f>
      </c>
      <c r="N5" s="16">
        <f>SUM(N6:N10)</f>
      </c>
      <c r="O5" s="16">
        <f>SUM(O6:O10)</f>
      </c>
      <c r="P5" s="16">
        <f>SUM(P6:P10)</f>
      </c>
      <c r="Q5" s="17">
        <f>SUM(Q6:Q10)</f>
      </c>
      <c r="R5" s="16">
        <f>SUM(R6:R10)</f>
      </c>
      <c r="S5" s="18">
        <f>IF(Q5&gt;0, R5/Q5, 0)</f>
      </c>
    </row>
    <row r="6">
      <c r="A6" s="6" t="s">
        <v>14</v>
      </c>
      <c r="B6" s="19">
        <v>0</v>
      </c>
      <c r="C6" s="20">
        <v>0</v>
      </c>
      <c r="D6" s="19">
        <v>0</v>
      </c>
      <c r="E6" s="19">
        <v>2</v>
      </c>
      <c r="F6" s="20">
        <v>2.12</v>
      </c>
      <c r="G6" s="19">
        <v>182.32</v>
      </c>
      <c r="H6" s="19">
        <f>D6+G6</f>
      </c>
      <c r="I6" s="19">
        <v>0</v>
      </c>
      <c r="J6" s="20">
        <v>0</v>
      </c>
      <c r="K6" s="19">
        <v>0</v>
      </c>
      <c r="L6" s="19">
        <v>0</v>
      </c>
      <c r="M6" s="20">
        <v>0</v>
      </c>
      <c r="N6" s="19">
        <v>0</v>
      </c>
      <c r="O6" s="19">
        <f>K6+N6</f>
      </c>
      <c r="P6" s="19">
        <f>B6+E6+I6+L6</f>
      </c>
      <c r="Q6" s="20">
        <f>C6+F6+J6+M6</f>
      </c>
      <c r="R6" s="19">
        <f>H6+O6</f>
      </c>
      <c r="S6" s="21">
        <f>IF(Q6&gt;0, R6/Q6, 0)</f>
      </c>
    </row>
    <row r="7">
      <c r="A7" s="6" t="s">
        <v>15</v>
      </c>
      <c r="B7" s="19">
        <v>0</v>
      </c>
      <c r="C7" s="20">
        <v>0</v>
      </c>
      <c r="D7" s="19">
        <v>0</v>
      </c>
      <c r="E7" s="19">
        <v>1</v>
      </c>
      <c r="F7" s="20">
        <v>1.05</v>
      </c>
      <c r="G7" s="19">
        <v>91.35</v>
      </c>
      <c r="H7" s="19">
        <f>D7+G7</f>
      </c>
      <c r="I7" s="19">
        <v>0</v>
      </c>
      <c r="J7" s="20">
        <v>0</v>
      </c>
      <c r="K7" s="19">
        <v>0</v>
      </c>
      <c r="L7" s="19">
        <v>0</v>
      </c>
      <c r="M7" s="20">
        <v>0</v>
      </c>
      <c r="N7" s="19">
        <v>0</v>
      </c>
      <c r="O7" s="19">
        <f>K7+N7</f>
      </c>
      <c r="P7" s="19">
        <f>B7+E7+I7+L7</f>
      </c>
      <c r="Q7" s="20">
        <f>C7+F7+J7+M7</f>
      </c>
      <c r="R7" s="19">
        <f>H7+O7</f>
      </c>
      <c r="S7" s="21">
        <f>IF(Q7&gt;0, R7/Q7, 0)</f>
      </c>
    </row>
    <row r="8">
      <c r="A8" s="6" t="s">
        <v>16</v>
      </c>
      <c r="B8" s="19">
        <v>0</v>
      </c>
      <c r="C8" s="20">
        <v>0</v>
      </c>
      <c r="D8" s="19">
        <v>0</v>
      </c>
      <c r="E8" s="19">
        <v>5</v>
      </c>
      <c r="F8" s="20">
        <v>5.97</v>
      </c>
      <c r="G8" s="19">
        <v>451.71</v>
      </c>
      <c r="H8" s="19">
        <f>D8+G8</f>
      </c>
      <c r="I8" s="19">
        <v>0</v>
      </c>
      <c r="J8" s="20">
        <v>0</v>
      </c>
      <c r="K8" s="19">
        <v>0</v>
      </c>
      <c r="L8" s="19">
        <v>0</v>
      </c>
      <c r="M8" s="20">
        <v>0</v>
      </c>
      <c r="N8" s="19">
        <v>0</v>
      </c>
      <c r="O8" s="19">
        <f>K8+N8</f>
      </c>
      <c r="P8" s="19">
        <f>B8+E8+I8+L8</f>
      </c>
      <c r="Q8" s="20">
        <f>C8+F8+J8+M8</f>
      </c>
      <c r="R8" s="19">
        <f>H8+O8</f>
      </c>
      <c r="S8" s="21">
        <f>IF(Q8&gt;0, R8/Q8, 0)</f>
      </c>
    </row>
    <row r="9">
      <c r="A9" s="6" t="s">
        <v>17</v>
      </c>
      <c r="B9" s="19">
        <v>0</v>
      </c>
      <c r="C9" s="20">
        <v>0</v>
      </c>
      <c r="D9" s="19">
        <v>0</v>
      </c>
      <c r="E9" s="19">
        <v>14</v>
      </c>
      <c r="F9" s="20">
        <v>14.53</v>
      </c>
      <c r="G9" s="19">
        <v>1351.29</v>
      </c>
      <c r="H9" s="19">
        <f>D9+G9</f>
      </c>
      <c r="I9" s="19">
        <v>0</v>
      </c>
      <c r="J9" s="20">
        <v>0</v>
      </c>
      <c r="K9" s="19">
        <v>0</v>
      </c>
      <c r="L9" s="19">
        <v>0</v>
      </c>
      <c r="M9" s="20">
        <v>0</v>
      </c>
      <c r="N9" s="19">
        <v>0</v>
      </c>
      <c r="O9" s="19">
        <f>K9+N9</f>
      </c>
      <c r="P9" s="19">
        <f>B9+E9+I9+L9</f>
      </c>
      <c r="Q9" s="20">
        <f>C9+F9+J9+M9</f>
      </c>
      <c r="R9" s="19">
        <f>H9+O9</f>
      </c>
      <c r="S9" s="21">
        <f>IF(Q9&gt;0, R9/Q9, 0)</f>
      </c>
    </row>
    <row r="10">
      <c r="A10" s="6" t="s">
        <v>18</v>
      </c>
      <c r="B10" s="19">
        <v>6</v>
      </c>
      <c r="C10" s="20">
        <v>10.9</v>
      </c>
      <c r="D10" s="19">
        <v>958.24</v>
      </c>
      <c r="E10" s="19">
        <v>0</v>
      </c>
      <c r="F10" s="20">
        <v>0</v>
      </c>
      <c r="G10" s="19">
        <v>0</v>
      </c>
      <c r="H10" s="19">
        <f>D10+G10</f>
      </c>
      <c r="I10" s="19">
        <v>0</v>
      </c>
      <c r="J10" s="20">
        <v>0</v>
      </c>
      <c r="K10" s="19">
        <v>0</v>
      </c>
      <c r="L10" s="19">
        <v>0</v>
      </c>
      <c r="M10" s="20">
        <v>0</v>
      </c>
      <c r="N10" s="19">
        <v>0</v>
      </c>
      <c r="O10" s="19">
        <f>K10+N10</f>
      </c>
      <c r="P10" s="19">
        <f>B10+E10+I10+L10</f>
      </c>
      <c r="Q10" s="20">
        <f>C10+F10+J10+M10</f>
      </c>
      <c r="R10" s="19">
        <f>H10+O10</f>
      </c>
      <c r="S10" s="21">
        <f>IF(Q10&gt;0, R10/Q10, 0)</f>
      </c>
    </row>
    <row r="11" s="2" customFormat="1">
      <c r="A11" s="15" t="s">
        <v>19</v>
      </c>
      <c r="B11" s="16">
        <f>SUM(B12:B13)</f>
      </c>
      <c r="C11" s="17">
        <f>SUM(C12:C13)</f>
      </c>
      <c r="D11" s="16">
        <f>SUM(D12:D13)</f>
      </c>
      <c r="E11" s="16">
        <f>SUM(E12:E13)</f>
      </c>
      <c r="F11" s="17">
        <f>SUM(F12:F13)</f>
      </c>
      <c r="G11" s="16">
        <f>SUM(G12:G13)</f>
      </c>
      <c r="H11" s="16">
        <f>SUM(H12:H13)</f>
      </c>
      <c r="I11" s="16">
        <f>SUM(I12:I13)</f>
      </c>
      <c r="J11" s="17">
        <f>SUM(J12:J13)</f>
      </c>
      <c r="K11" s="16">
        <f>SUM(K12:K13)</f>
      </c>
      <c r="L11" s="16">
        <f>SUM(L12:L13)</f>
      </c>
      <c r="M11" s="17">
        <f>SUM(M12:M13)</f>
      </c>
      <c r="N11" s="16">
        <f>SUM(N12:N13)</f>
      </c>
      <c r="O11" s="16">
        <f>SUM(O12:O13)</f>
      </c>
      <c r="P11" s="16">
        <f>SUM(P12:P13)</f>
      </c>
      <c r="Q11" s="17">
        <f>SUM(Q12:Q13)</f>
      </c>
      <c r="R11" s="16">
        <f>SUM(R12:R13)</f>
      </c>
      <c r="S11" s="18">
        <f>IF(Q11&gt;0, R11/Q11, 0)</f>
      </c>
    </row>
    <row r="12">
      <c r="A12" s="6" t="s">
        <v>17</v>
      </c>
      <c r="B12" s="19">
        <v>0</v>
      </c>
      <c r="C12" s="20">
        <v>0</v>
      </c>
      <c r="D12" s="19">
        <v>0</v>
      </c>
      <c r="E12" s="19">
        <v>1</v>
      </c>
      <c r="F12" s="20">
        <v>1.54</v>
      </c>
      <c r="G12" s="19">
        <v>120.12</v>
      </c>
      <c r="H12" s="19">
        <f>D12+G12</f>
      </c>
      <c r="I12" s="19">
        <v>0</v>
      </c>
      <c r="J12" s="20">
        <v>0</v>
      </c>
      <c r="K12" s="19">
        <v>0</v>
      </c>
      <c r="L12" s="19">
        <v>0</v>
      </c>
      <c r="M12" s="20">
        <v>0</v>
      </c>
      <c r="N12" s="19">
        <v>0</v>
      </c>
      <c r="O12" s="19">
        <f>K12+N12</f>
      </c>
      <c r="P12" s="19">
        <f>B12+E12+I12+L12</f>
      </c>
      <c r="Q12" s="20">
        <f>C12+F12+J12+M12</f>
      </c>
      <c r="R12" s="19">
        <f>H12+O12</f>
      </c>
      <c r="S12" s="21">
        <f>IF(Q12&gt;0, R12/Q12, 0)</f>
      </c>
    </row>
    <row r="13">
      <c r="A13" s="6" t="s">
        <v>18</v>
      </c>
      <c r="B13" s="19">
        <v>1</v>
      </c>
      <c r="C13" s="20">
        <v>2.61</v>
      </c>
      <c r="D13" s="19">
        <v>148.77</v>
      </c>
      <c r="E13" s="19">
        <v>2</v>
      </c>
      <c r="F13" s="20">
        <v>3.64</v>
      </c>
      <c r="G13" s="19">
        <v>283.14</v>
      </c>
      <c r="H13" s="19">
        <f>D13+G13</f>
      </c>
      <c r="I13" s="19">
        <v>0</v>
      </c>
      <c r="J13" s="20">
        <v>0</v>
      </c>
      <c r="K13" s="19">
        <v>0</v>
      </c>
      <c r="L13" s="19">
        <v>0</v>
      </c>
      <c r="M13" s="20">
        <v>0</v>
      </c>
      <c r="N13" s="19">
        <v>0</v>
      </c>
      <c r="O13" s="19">
        <f>K13+N13</f>
      </c>
      <c r="P13" s="19">
        <f>B13+E13+I13+L13</f>
      </c>
      <c r="Q13" s="20">
        <f>C13+F13+J13+M13</f>
      </c>
      <c r="R13" s="19">
        <f>H13+O13</f>
      </c>
      <c r="S13" s="21">
        <f>IF(Q13&gt;0, R13/Q13, 0)</f>
      </c>
    </row>
    <row r="14" s="2" customFormat="1">
      <c r="A14" s="15" t="s">
        <v>20</v>
      </c>
      <c r="B14" s="16">
        <f>SUM(B15:B18)</f>
      </c>
      <c r="C14" s="17">
        <f>SUM(C15:C18)</f>
      </c>
      <c r="D14" s="16">
        <f>SUM(D15:D18)</f>
      </c>
      <c r="E14" s="16">
        <f>SUM(E15:E18)</f>
      </c>
      <c r="F14" s="17">
        <f>SUM(F15:F18)</f>
      </c>
      <c r="G14" s="16">
        <f>SUM(G15:G18)</f>
      </c>
      <c r="H14" s="16">
        <f>SUM(H15:H18)</f>
      </c>
      <c r="I14" s="16">
        <f>SUM(I15:I18)</f>
      </c>
      <c r="J14" s="17">
        <f>SUM(J15:J18)</f>
      </c>
      <c r="K14" s="16">
        <f>SUM(K15:K18)</f>
      </c>
      <c r="L14" s="16">
        <f>SUM(L15:L18)</f>
      </c>
      <c r="M14" s="17">
        <f>SUM(M15:M18)</f>
      </c>
      <c r="N14" s="16">
        <f>SUM(N15:N18)</f>
      </c>
      <c r="O14" s="16">
        <f>SUM(O15:O18)</f>
      </c>
      <c r="P14" s="16">
        <f>SUM(P15:P18)</f>
      </c>
      <c r="Q14" s="17">
        <f>SUM(Q15:Q18)</f>
      </c>
      <c r="R14" s="16">
        <f>SUM(R15:R18)</f>
      </c>
      <c r="S14" s="18">
        <f>IF(Q14&gt;0, R14/Q14, 0)</f>
      </c>
    </row>
    <row r="15">
      <c r="A15" s="6" t="s">
        <v>15</v>
      </c>
      <c r="B15" s="19">
        <v>0</v>
      </c>
      <c r="C15" s="20">
        <v>0</v>
      </c>
      <c r="D15" s="19">
        <v>0</v>
      </c>
      <c r="E15" s="19">
        <v>20</v>
      </c>
      <c r="F15" s="20">
        <v>22.14</v>
      </c>
      <c r="G15" s="19">
        <v>1618.4</v>
      </c>
      <c r="H15" s="19">
        <f>D15+G15</f>
      </c>
      <c r="I15" s="19">
        <v>0</v>
      </c>
      <c r="J15" s="20">
        <v>0</v>
      </c>
      <c r="K15" s="19">
        <v>0</v>
      </c>
      <c r="L15" s="19">
        <v>0</v>
      </c>
      <c r="M15" s="20">
        <v>0</v>
      </c>
      <c r="N15" s="19">
        <v>0</v>
      </c>
      <c r="O15" s="19">
        <f>K15+N15</f>
      </c>
      <c r="P15" s="19">
        <f>B15+E15+I15+L15</f>
      </c>
      <c r="Q15" s="20">
        <f>C15+F15+J15+M15</f>
      </c>
      <c r="R15" s="19">
        <f>H15+O15</f>
      </c>
      <c r="S15" s="21">
        <f>IF(Q15&gt;0, R15/Q15, 0)</f>
      </c>
    </row>
    <row r="16">
      <c r="A16" s="6" t="s">
        <v>16</v>
      </c>
      <c r="B16" s="19">
        <v>0</v>
      </c>
      <c r="C16" s="20">
        <v>0</v>
      </c>
      <c r="D16" s="19">
        <v>0</v>
      </c>
      <c r="E16" s="19">
        <v>12</v>
      </c>
      <c r="F16" s="20">
        <v>12.68</v>
      </c>
      <c r="G16" s="19">
        <v>955.29</v>
      </c>
      <c r="H16" s="19">
        <f>D16+G16</f>
      </c>
      <c r="I16" s="19">
        <v>0</v>
      </c>
      <c r="J16" s="20">
        <v>0</v>
      </c>
      <c r="K16" s="19">
        <v>0</v>
      </c>
      <c r="L16" s="19">
        <v>0</v>
      </c>
      <c r="M16" s="20">
        <v>0</v>
      </c>
      <c r="N16" s="19">
        <v>0</v>
      </c>
      <c r="O16" s="19">
        <f>K16+N16</f>
      </c>
      <c r="P16" s="19">
        <f>B16+E16+I16+L16</f>
      </c>
      <c r="Q16" s="20">
        <f>C16+F16+J16+M16</f>
      </c>
      <c r="R16" s="19">
        <f>H16+O16</f>
      </c>
      <c r="S16" s="21">
        <f>IF(Q16&gt;0, R16/Q16, 0)</f>
      </c>
    </row>
    <row r="17">
      <c r="A17" s="6" t="s">
        <v>17</v>
      </c>
      <c r="B17" s="19">
        <v>2</v>
      </c>
      <c r="C17" s="20">
        <v>2.1</v>
      </c>
      <c r="D17" s="19">
        <v>186.9</v>
      </c>
      <c r="E17" s="19">
        <v>27</v>
      </c>
      <c r="F17" s="20">
        <v>28.11</v>
      </c>
      <c r="G17" s="19">
        <v>2302.66</v>
      </c>
      <c r="H17" s="19">
        <f>D17+G17</f>
      </c>
      <c r="I17" s="19">
        <v>0</v>
      </c>
      <c r="J17" s="20">
        <v>0</v>
      </c>
      <c r="K17" s="19">
        <v>0</v>
      </c>
      <c r="L17" s="19">
        <v>0</v>
      </c>
      <c r="M17" s="20">
        <v>0</v>
      </c>
      <c r="N17" s="19">
        <v>0</v>
      </c>
      <c r="O17" s="19">
        <f>K17+N17</f>
      </c>
      <c r="P17" s="19">
        <f>B17+E17+I17+L17</f>
      </c>
      <c r="Q17" s="20">
        <f>C17+F17+J17+M17</f>
      </c>
      <c r="R17" s="19">
        <f>H17+O17</f>
      </c>
      <c r="S17" s="21">
        <f>IF(Q17&gt;0, R17/Q17, 0)</f>
      </c>
    </row>
    <row r="18">
      <c r="A18" s="6" t="s">
        <v>18</v>
      </c>
      <c r="B18" s="19">
        <v>1</v>
      </c>
      <c r="C18" s="20">
        <v>2.03</v>
      </c>
      <c r="D18" s="19">
        <v>182.7</v>
      </c>
      <c r="E18" s="19">
        <v>0</v>
      </c>
      <c r="F18" s="20">
        <v>0</v>
      </c>
      <c r="G18" s="19">
        <v>0</v>
      </c>
      <c r="H18" s="19">
        <f>D18+G18</f>
      </c>
      <c r="I18" s="19">
        <v>0</v>
      </c>
      <c r="J18" s="20">
        <v>0</v>
      </c>
      <c r="K18" s="19">
        <v>0</v>
      </c>
      <c r="L18" s="19">
        <v>0</v>
      </c>
      <c r="M18" s="20">
        <v>0</v>
      </c>
      <c r="N18" s="19">
        <v>0</v>
      </c>
      <c r="O18" s="19">
        <f>K18+N18</f>
      </c>
      <c r="P18" s="19">
        <f>B18+E18+I18+L18</f>
      </c>
      <c r="Q18" s="20">
        <f>C18+F18+J18+M18</f>
      </c>
      <c r="R18" s="19">
        <f>H18+O18</f>
      </c>
      <c r="S18" s="21">
        <f>IF(Q18&gt;0, R18/Q18, 0)</f>
      </c>
    </row>
    <row r="19" s="2" customFormat="1">
      <c r="A19" s="15" t="s">
        <v>21</v>
      </c>
      <c r="B19" s="16">
        <f>SUM(B20:B21)</f>
      </c>
      <c r="C19" s="17">
        <f>SUM(C20:C21)</f>
      </c>
      <c r="D19" s="16">
        <f>SUM(D20:D21)</f>
      </c>
      <c r="E19" s="16">
        <f>SUM(E20:E21)</f>
      </c>
      <c r="F19" s="17">
        <f>SUM(F20:F21)</f>
      </c>
      <c r="G19" s="16">
        <f>SUM(G20:G21)</f>
      </c>
      <c r="H19" s="16">
        <f>SUM(H20:H21)</f>
      </c>
      <c r="I19" s="16">
        <f>SUM(I20:I21)</f>
      </c>
      <c r="J19" s="17">
        <f>SUM(J20:J21)</f>
      </c>
      <c r="K19" s="16">
        <f>SUM(K20:K21)</f>
      </c>
      <c r="L19" s="16">
        <f>SUM(L20:L21)</f>
      </c>
      <c r="M19" s="17">
        <f>SUM(M20:M21)</f>
      </c>
      <c r="N19" s="16">
        <f>SUM(N20:N21)</f>
      </c>
      <c r="O19" s="16">
        <f>SUM(O20:O21)</f>
      </c>
      <c r="P19" s="16">
        <f>SUM(P20:P21)</f>
      </c>
      <c r="Q19" s="17">
        <f>SUM(Q20:Q21)</f>
      </c>
      <c r="R19" s="16">
        <f>SUM(R20:R21)</f>
      </c>
      <c r="S19" s="18">
        <f>IF(Q19&gt;0, R19/Q19, 0)</f>
      </c>
    </row>
    <row r="20">
      <c r="A20" s="6" t="s">
        <v>22</v>
      </c>
      <c r="B20" s="19">
        <v>0</v>
      </c>
      <c r="C20" s="20">
        <v>0</v>
      </c>
      <c r="D20" s="19">
        <v>0</v>
      </c>
      <c r="E20" s="19">
        <v>1</v>
      </c>
      <c r="F20" s="20">
        <v>1.23</v>
      </c>
      <c r="G20" s="19">
        <v>97.17</v>
      </c>
      <c r="H20" s="19">
        <f>D20+G20</f>
      </c>
      <c r="I20" s="19">
        <v>0</v>
      </c>
      <c r="J20" s="20">
        <v>0</v>
      </c>
      <c r="K20" s="19">
        <v>0</v>
      </c>
      <c r="L20" s="19">
        <v>0</v>
      </c>
      <c r="M20" s="20">
        <v>0</v>
      </c>
      <c r="N20" s="19">
        <v>0</v>
      </c>
      <c r="O20" s="19">
        <f>K20+N20</f>
      </c>
      <c r="P20" s="19">
        <f>B20+E20+I20+L20</f>
      </c>
      <c r="Q20" s="20">
        <f>C20+F20+J20+M20</f>
      </c>
      <c r="R20" s="19">
        <f>H20+O20</f>
      </c>
      <c r="S20" s="21">
        <f>IF(Q20&gt;0, R20/Q20, 0)</f>
      </c>
    </row>
    <row r="21">
      <c r="A21" s="6" t="s">
        <v>18</v>
      </c>
      <c r="B21" s="19">
        <v>0</v>
      </c>
      <c r="C21" s="20">
        <v>0</v>
      </c>
      <c r="D21" s="19">
        <v>0</v>
      </c>
      <c r="E21" s="19">
        <v>48</v>
      </c>
      <c r="F21" s="20">
        <v>70.09</v>
      </c>
      <c r="G21" s="19">
        <v>6186.4</v>
      </c>
      <c r="H21" s="19">
        <f>D21+G21</f>
      </c>
      <c r="I21" s="19">
        <v>0</v>
      </c>
      <c r="J21" s="20">
        <v>0</v>
      </c>
      <c r="K21" s="19">
        <v>0</v>
      </c>
      <c r="L21" s="19">
        <v>0</v>
      </c>
      <c r="M21" s="20">
        <v>0</v>
      </c>
      <c r="N21" s="19">
        <v>0</v>
      </c>
      <c r="O21" s="19">
        <f>K21+N21</f>
      </c>
      <c r="P21" s="19">
        <f>B21+E21+I21+L21</f>
      </c>
      <c r="Q21" s="20">
        <f>C21+F21+J21+M21</f>
      </c>
      <c r="R21" s="19">
        <f>H21+O21</f>
      </c>
      <c r="S21" s="21">
        <f>IF(Q21&gt;0, R21/Q21, 0)</f>
      </c>
    </row>
    <row r="22" s="2" customFormat="1">
      <c r="A22" s="15" t="s">
        <v>23</v>
      </c>
      <c r="B22" s="16">
        <f>SUM(B23:B24)</f>
      </c>
      <c r="C22" s="17">
        <f>SUM(C23:C24)</f>
      </c>
      <c r="D22" s="16">
        <f>SUM(D23:D24)</f>
      </c>
      <c r="E22" s="16">
        <f>SUM(E23:E24)</f>
      </c>
      <c r="F22" s="17">
        <f>SUM(F23:F24)</f>
      </c>
      <c r="G22" s="16">
        <f>SUM(G23:G24)</f>
      </c>
      <c r="H22" s="16">
        <f>SUM(H23:H24)</f>
      </c>
      <c r="I22" s="16">
        <f>SUM(I23:I24)</f>
      </c>
      <c r="J22" s="17">
        <f>SUM(J23:J24)</f>
      </c>
      <c r="K22" s="16">
        <f>SUM(K23:K24)</f>
      </c>
      <c r="L22" s="16">
        <f>SUM(L23:L24)</f>
      </c>
      <c r="M22" s="17">
        <f>SUM(M23:M24)</f>
      </c>
      <c r="N22" s="16">
        <f>SUM(N23:N24)</f>
      </c>
      <c r="O22" s="16">
        <f>SUM(O23:O24)</f>
      </c>
      <c r="P22" s="16">
        <f>SUM(P23:P24)</f>
      </c>
      <c r="Q22" s="17">
        <f>SUM(Q23:Q24)</f>
      </c>
      <c r="R22" s="16">
        <f>SUM(R23:R24)</f>
      </c>
      <c r="S22" s="18">
        <f>IF(Q22&gt;0, R22/Q22, 0)</f>
      </c>
    </row>
    <row r="23">
      <c r="A23" s="6" t="s">
        <v>24</v>
      </c>
      <c r="B23" s="19">
        <v>0</v>
      </c>
      <c r="C23" s="20">
        <v>0</v>
      </c>
      <c r="D23" s="19">
        <v>0</v>
      </c>
      <c r="E23" s="19">
        <v>0</v>
      </c>
      <c r="F23" s="20">
        <v>0</v>
      </c>
      <c r="G23" s="19">
        <v>0</v>
      </c>
      <c r="H23" s="19">
        <f>D23+G23</f>
      </c>
      <c r="I23" s="19">
        <v>0</v>
      </c>
      <c r="J23" s="20">
        <v>0</v>
      </c>
      <c r="K23" s="19">
        <v>0</v>
      </c>
      <c r="L23" s="19">
        <v>44</v>
      </c>
      <c r="M23" s="20">
        <v>85.15</v>
      </c>
      <c r="N23" s="19">
        <v>9491.78</v>
      </c>
      <c r="O23" s="19">
        <f>K23+N23</f>
      </c>
      <c r="P23" s="19">
        <f>B23+E23+I23+L23</f>
      </c>
      <c r="Q23" s="20">
        <f>C23+F23+J23+M23</f>
      </c>
      <c r="R23" s="19">
        <f>H23+O23</f>
      </c>
      <c r="S23" s="21">
        <f>IF(Q23&gt;0, R23/Q23, 0)</f>
      </c>
    </row>
    <row r="24">
      <c r="A24" s="6" t="s">
        <v>15</v>
      </c>
      <c r="B24" s="19">
        <v>0</v>
      </c>
      <c r="C24" s="20">
        <v>0</v>
      </c>
      <c r="D24" s="19">
        <v>0</v>
      </c>
      <c r="E24" s="19">
        <v>0</v>
      </c>
      <c r="F24" s="20">
        <v>0</v>
      </c>
      <c r="G24" s="19">
        <v>0</v>
      </c>
      <c r="H24" s="19">
        <f>D24+G24</f>
      </c>
      <c r="I24" s="19">
        <v>1</v>
      </c>
      <c r="J24" s="20">
        <v>1.54</v>
      </c>
      <c r="K24" s="19">
        <v>152.46</v>
      </c>
      <c r="L24" s="19">
        <v>0</v>
      </c>
      <c r="M24" s="20">
        <v>0</v>
      </c>
      <c r="N24" s="19">
        <v>0</v>
      </c>
      <c r="O24" s="19">
        <f>K24+N24</f>
      </c>
      <c r="P24" s="19">
        <f>B24+E24+I24+L24</f>
      </c>
      <c r="Q24" s="20">
        <f>C24+F24+J24+M24</f>
      </c>
      <c r="R24" s="19">
        <f>H24+O24</f>
      </c>
      <c r="S24" s="21">
        <f>IF(Q24&gt;0, R24/Q24, 0)</f>
      </c>
    </row>
    <row r="25" s="2" customFormat="1">
      <c r="A25" s="15" t="s">
        <v>25</v>
      </c>
      <c r="B25" s="16">
        <f>SUM(B26:B27)</f>
      </c>
      <c r="C25" s="17">
        <f>SUM(C26:C27)</f>
      </c>
      <c r="D25" s="16">
        <f>SUM(D26:D27)</f>
      </c>
      <c r="E25" s="16">
        <f>SUM(E26:E27)</f>
      </c>
      <c r="F25" s="17">
        <f>SUM(F26:F27)</f>
      </c>
      <c r="G25" s="16">
        <f>SUM(G26:G27)</f>
      </c>
      <c r="H25" s="16">
        <f>SUM(H26:H27)</f>
      </c>
      <c r="I25" s="16">
        <f>SUM(I26:I27)</f>
      </c>
      <c r="J25" s="17">
        <f>SUM(J26:J27)</f>
      </c>
      <c r="K25" s="16">
        <f>SUM(K26:K27)</f>
      </c>
      <c r="L25" s="16">
        <f>SUM(L26:L27)</f>
      </c>
      <c r="M25" s="17">
        <f>SUM(M26:M27)</f>
      </c>
      <c r="N25" s="16">
        <f>SUM(N26:N27)</f>
      </c>
      <c r="O25" s="16">
        <f>SUM(O26:O27)</f>
      </c>
      <c r="P25" s="16">
        <f>SUM(P26:P27)</f>
      </c>
      <c r="Q25" s="17">
        <f>SUM(Q26:Q27)</f>
      </c>
      <c r="R25" s="16">
        <f>SUM(R26:R27)</f>
      </c>
      <c r="S25" s="18">
        <f>IF(Q25&gt;0, R25/Q25, 0)</f>
      </c>
    </row>
    <row r="26">
      <c r="A26" s="6" t="s">
        <v>16</v>
      </c>
      <c r="B26" s="19">
        <v>0</v>
      </c>
      <c r="C26" s="20">
        <v>0</v>
      </c>
      <c r="D26" s="19">
        <v>0</v>
      </c>
      <c r="E26" s="19">
        <v>1</v>
      </c>
      <c r="F26" s="20">
        <v>1.24</v>
      </c>
      <c r="G26" s="19">
        <v>102.92</v>
      </c>
      <c r="H26" s="19">
        <f>D26+G26</f>
      </c>
      <c r="I26" s="19">
        <v>0</v>
      </c>
      <c r="J26" s="20">
        <v>0</v>
      </c>
      <c r="K26" s="19">
        <v>0</v>
      </c>
      <c r="L26" s="19">
        <v>0</v>
      </c>
      <c r="M26" s="20">
        <v>0</v>
      </c>
      <c r="N26" s="19">
        <v>0</v>
      </c>
      <c r="O26" s="19">
        <f>K26+N26</f>
      </c>
      <c r="P26" s="19">
        <f>B26+E26+I26+L26</f>
      </c>
      <c r="Q26" s="20">
        <f>C26+F26+J26+M26</f>
      </c>
      <c r="R26" s="19">
        <f>H26+O26</f>
      </c>
      <c r="S26" s="21">
        <f>IF(Q26&gt;0, R26/Q26, 0)</f>
      </c>
    </row>
    <row r="27">
      <c r="A27" s="6" t="s">
        <v>17</v>
      </c>
      <c r="B27" s="19">
        <v>0</v>
      </c>
      <c r="C27" s="20">
        <v>0</v>
      </c>
      <c r="D27" s="19">
        <v>0</v>
      </c>
      <c r="E27" s="19">
        <v>1</v>
      </c>
      <c r="F27" s="20">
        <v>1.03</v>
      </c>
      <c r="G27" s="19">
        <v>67.98</v>
      </c>
      <c r="H27" s="19">
        <f>D27+G27</f>
      </c>
      <c r="I27" s="19">
        <v>0</v>
      </c>
      <c r="J27" s="20">
        <v>0</v>
      </c>
      <c r="K27" s="19">
        <v>0</v>
      </c>
      <c r="L27" s="19">
        <v>0</v>
      </c>
      <c r="M27" s="20">
        <v>0</v>
      </c>
      <c r="N27" s="19">
        <v>0</v>
      </c>
      <c r="O27" s="19">
        <f>K27+N27</f>
      </c>
      <c r="P27" s="19">
        <f>B27+E27+I27+L27</f>
      </c>
      <c r="Q27" s="20">
        <f>C27+F27+J27+M27</f>
      </c>
      <c r="R27" s="19">
        <f>H27+O27</f>
      </c>
      <c r="S27" s="21">
        <f>IF(Q27&gt;0, R27/Q27, 0)</f>
      </c>
    </row>
    <row r="28" s="2" customFormat="1">
      <c r="A28" s="15" t="s">
        <v>26</v>
      </c>
      <c r="B28" s="16">
        <f>SUM(B29:B30)</f>
      </c>
      <c r="C28" s="17">
        <f>SUM(C29:C30)</f>
      </c>
      <c r="D28" s="16">
        <f>SUM(D29:D30)</f>
      </c>
      <c r="E28" s="16">
        <f>SUM(E29:E30)</f>
      </c>
      <c r="F28" s="17">
        <f>SUM(F29:F30)</f>
      </c>
      <c r="G28" s="16">
        <f>SUM(G29:G30)</f>
      </c>
      <c r="H28" s="16">
        <f>SUM(H29:H30)</f>
      </c>
      <c r="I28" s="16">
        <f>SUM(I29:I30)</f>
      </c>
      <c r="J28" s="17">
        <f>SUM(J29:J30)</f>
      </c>
      <c r="K28" s="16">
        <f>SUM(K29:K30)</f>
      </c>
      <c r="L28" s="16">
        <f>SUM(L29:L30)</f>
      </c>
      <c r="M28" s="17">
        <f>SUM(M29:M30)</f>
      </c>
      <c r="N28" s="16">
        <f>SUM(N29:N30)</f>
      </c>
      <c r="O28" s="16">
        <f>SUM(O29:O30)</f>
      </c>
      <c r="P28" s="16">
        <f>SUM(P29:P30)</f>
      </c>
      <c r="Q28" s="17">
        <f>SUM(Q29:Q30)</f>
      </c>
      <c r="R28" s="16">
        <f>SUM(R29:R30)</f>
      </c>
      <c r="S28" s="18">
        <f>IF(Q28&gt;0, R28/Q28, 0)</f>
      </c>
    </row>
    <row r="29">
      <c r="A29" s="6" t="s">
        <v>27</v>
      </c>
      <c r="B29" s="19">
        <v>0</v>
      </c>
      <c r="C29" s="20">
        <v>0</v>
      </c>
      <c r="D29" s="19">
        <v>0</v>
      </c>
      <c r="E29" s="19">
        <v>0</v>
      </c>
      <c r="F29" s="20">
        <v>0</v>
      </c>
      <c r="G29" s="19">
        <v>0</v>
      </c>
      <c r="H29" s="19">
        <f>D29+G29</f>
      </c>
      <c r="I29" s="19">
        <v>0</v>
      </c>
      <c r="J29" s="20">
        <v>0</v>
      </c>
      <c r="K29" s="19">
        <v>0</v>
      </c>
      <c r="L29" s="19">
        <v>485</v>
      </c>
      <c r="M29" s="20">
        <v>629.36</v>
      </c>
      <c r="N29" s="19">
        <v>71244.76</v>
      </c>
      <c r="O29" s="19">
        <f>K29+N29</f>
      </c>
      <c r="P29" s="19">
        <f>B29+E29+I29+L29</f>
      </c>
      <c r="Q29" s="20">
        <f>C29+F29+J29+M29</f>
      </c>
      <c r="R29" s="19">
        <f>H29+O29</f>
      </c>
      <c r="S29" s="21">
        <f>IF(Q29&gt;0, R29/Q29, 0)</f>
      </c>
    </row>
    <row r="30">
      <c r="A30" s="6" t="s">
        <v>24</v>
      </c>
      <c r="B30" s="19">
        <v>0</v>
      </c>
      <c r="C30" s="20">
        <v>0</v>
      </c>
      <c r="D30" s="19">
        <v>0</v>
      </c>
      <c r="E30" s="19">
        <v>0</v>
      </c>
      <c r="F30" s="20">
        <v>0</v>
      </c>
      <c r="G30" s="19">
        <v>0</v>
      </c>
      <c r="H30" s="19">
        <f>D30+G30</f>
      </c>
      <c r="I30" s="19">
        <v>0</v>
      </c>
      <c r="J30" s="20">
        <v>0</v>
      </c>
      <c r="K30" s="19">
        <v>0</v>
      </c>
      <c r="L30" s="19">
        <v>3</v>
      </c>
      <c r="M30" s="20">
        <v>5.25</v>
      </c>
      <c r="N30" s="19">
        <v>736.18</v>
      </c>
      <c r="O30" s="19">
        <f>K30+N30</f>
      </c>
      <c r="P30" s="19">
        <f>B30+E30+I30+L30</f>
      </c>
      <c r="Q30" s="20">
        <f>C30+F30+J30+M30</f>
      </c>
      <c r="R30" s="19">
        <f>H30+O30</f>
      </c>
      <c r="S30" s="21">
        <f>IF(Q30&gt;0, R30/Q30, 0)</f>
      </c>
    </row>
    <row r="31" s="2" customFormat="1">
      <c r="A31" s="15" t="s">
        <v>28</v>
      </c>
      <c r="B31" s="16">
        <f>SUM(B32:B34)</f>
      </c>
      <c r="C31" s="17">
        <f>SUM(C32:C34)</f>
      </c>
      <c r="D31" s="16">
        <f>SUM(D32:D34)</f>
      </c>
      <c r="E31" s="16">
        <f>SUM(E32:E34)</f>
      </c>
      <c r="F31" s="17">
        <f>SUM(F32:F34)</f>
      </c>
      <c r="G31" s="16">
        <f>SUM(G32:G34)</f>
      </c>
      <c r="H31" s="16">
        <f>SUM(H32:H34)</f>
      </c>
      <c r="I31" s="16">
        <f>SUM(I32:I34)</f>
      </c>
      <c r="J31" s="17">
        <f>SUM(J32:J34)</f>
      </c>
      <c r="K31" s="16">
        <f>SUM(K32:K34)</f>
      </c>
      <c r="L31" s="16">
        <f>SUM(L32:L34)</f>
      </c>
      <c r="M31" s="17">
        <f>SUM(M32:M34)</f>
      </c>
      <c r="N31" s="16">
        <f>SUM(N32:N34)</f>
      </c>
      <c r="O31" s="16">
        <f>SUM(O32:O34)</f>
      </c>
      <c r="P31" s="16">
        <f>SUM(P32:P34)</f>
      </c>
      <c r="Q31" s="17">
        <f>SUM(Q32:Q34)</f>
      </c>
      <c r="R31" s="16">
        <f>SUM(R32:R34)</f>
      </c>
      <c r="S31" s="18">
        <f>IF(Q31&gt;0, R31/Q31, 0)</f>
      </c>
    </row>
    <row r="32">
      <c r="A32" s="6" t="s">
        <v>29</v>
      </c>
      <c r="B32" s="19">
        <v>0</v>
      </c>
      <c r="C32" s="20">
        <v>0</v>
      </c>
      <c r="D32" s="19">
        <v>0</v>
      </c>
      <c r="E32" s="19">
        <v>0</v>
      </c>
      <c r="F32" s="20">
        <v>0</v>
      </c>
      <c r="G32" s="19">
        <v>0</v>
      </c>
      <c r="H32" s="19">
        <f>D32+G32</f>
      </c>
      <c r="I32" s="19">
        <v>2</v>
      </c>
      <c r="J32" s="20">
        <v>4.05</v>
      </c>
      <c r="K32" s="19">
        <v>486</v>
      </c>
      <c r="L32" s="19">
        <v>0</v>
      </c>
      <c r="M32" s="20">
        <v>0</v>
      </c>
      <c r="N32" s="19">
        <v>0</v>
      </c>
      <c r="O32" s="19">
        <f>K32+N32</f>
      </c>
      <c r="P32" s="19">
        <f>B32+E32+I32+L32</f>
      </c>
      <c r="Q32" s="20">
        <f>C32+F32+J32+M32</f>
      </c>
      <c r="R32" s="19">
        <f>H32+O32</f>
      </c>
      <c r="S32" s="21">
        <f>IF(Q32&gt;0, R32/Q32, 0)</f>
      </c>
    </row>
    <row r="33">
      <c r="A33" s="6" t="s">
        <v>30</v>
      </c>
      <c r="B33" s="19">
        <v>0</v>
      </c>
      <c r="C33" s="20">
        <v>0</v>
      </c>
      <c r="D33" s="19">
        <v>0</v>
      </c>
      <c r="E33" s="19">
        <v>0</v>
      </c>
      <c r="F33" s="20">
        <v>0</v>
      </c>
      <c r="G33" s="19">
        <v>0</v>
      </c>
      <c r="H33" s="19">
        <f>D33+G33</f>
      </c>
      <c r="I33" s="19">
        <v>1</v>
      </c>
      <c r="J33" s="20">
        <v>1.6</v>
      </c>
      <c r="K33" s="19">
        <v>104</v>
      </c>
      <c r="L33" s="19">
        <v>0</v>
      </c>
      <c r="M33" s="20">
        <v>0</v>
      </c>
      <c r="N33" s="19">
        <v>0</v>
      </c>
      <c r="O33" s="19">
        <f>K33+N33</f>
      </c>
      <c r="P33" s="19">
        <f>B33+E33+I33+L33</f>
      </c>
      <c r="Q33" s="20">
        <f>C33+F33+J33+M33</f>
      </c>
      <c r="R33" s="19">
        <f>H33+O33</f>
      </c>
      <c r="S33" s="21">
        <f>IF(Q33&gt;0, R33/Q33, 0)</f>
      </c>
    </row>
    <row r="34">
      <c r="A34" s="6" t="s">
        <v>31</v>
      </c>
      <c r="B34" s="19">
        <v>0</v>
      </c>
      <c r="C34" s="20">
        <v>0</v>
      </c>
      <c r="D34" s="19">
        <v>0</v>
      </c>
      <c r="E34" s="19">
        <v>0</v>
      </c>
      <c r="F34" s="20">
        <v>0</v>
      </c>
      <c r="G34" s="19">
        <v>0</v>
      </c>
      <c r="H34" s="19">
        <f>D34+G34</f>
      </c>
      <c r="I34" s="19">
        <v>16</v>
      </c>
      <c r="J34" s="20">
        <v>28.5</v>
      </c>
      <c r="K34" s="19">
        <v>5556.52</v>
      </c>
      <c r="L34" s="19">
        <v>0</v>
      </c>
      <c r="M34" s="20">
        <v>0</v>
      </c>
      <c r="N34" s="19">
        <v>0</v>
      </c>
      <c r="O34" s="19">
        <f>K34+N34</f>
      </c>
      <c r="P34" s="19">
        <f>B34+E34+I34+L34</f>
      </c>
      <c r="Q34" s="20">
        <f>C34+F34+J34+M34</f>
      </c>
      <c r="R34" s="19">
        <f>H34+O34</f>
      </c>
      <c r="S34" s="21">
        <f>IF(Q34&gt;0, R34/Q34, 0)</f>
      </c>
    </row>
    <row r="35" s="2" customFormat="1">
      <c r="A35" s="15" t="s">
        <v>32</v>
      </c>
      <c r="B35" s="16">
        <f>SUM(B36:B41)</f>
      </c>
      <c r="C35" s="17">
        <f>SUM(C36:C41)</f>
      </c>
      <c r="D35" s="16">
        <f>SUM(D36:D41)</f>
      </c>
      <c r="E35" s="16">
        <f>SUM(E36:E41)</f>
      </c>
      <c r="F35" s="17">
        <f>SUM(F36:F41)</f>
      </c>
      <c r="G35" s="16">
        <f>SUM(G36:G41)</f>
      </c>
      <c r="H35" s="16">
        <f>SUM(H36:H41)</f>
      </c>
      <c r="I35" s="16">
        <f>SUM(I36:I41)</f>
      </c>
      <c r="J35" s="17">
        <f>SUM(J36:J41)</f>
      </c>
      <c r="K35" s="16">
        <f>SUM(K36:K41)</f>
      </c>
      <c r="L35" s="16">
        <f>SUM(L36:L41)</f>
      </c>
      <c r="M35" s="17">
        <f>SUM(M36:M41)</f>
      </c>
      <c r="N35" s="16">
        <f>SUM(N36:N41)</f>
      </c>
      <c r="O35" s="16">
        <f>SUM(O36:O41)</f>
      </c>
      <c r="P35" s="16">
        <f>SUM(P36:P41)</f>
      </c>
      <c r="Q35" s="17">
        <f>SUM(Q36:Q41)</f>
      </c>
      <c r="R35" s="16">
        <f>SUM(R36:R41)</f>
      </c>
      <c r="S35" s="18">
        <f>IF(Q35&gt;0, R35/Q35, 0)</f>
      </c>
    </row>
    <row r="36">
      <c r="A36" s="6" t="s">
        <v>22</v>
      </c>
      <c r="B36" s="19">
        <v>0</v>
      </c>
      <c r="C36" s="20">
        <v>0</v>
      </c>
      <c r="D36" s="19">
        <v>0</v>
      </c>
      <c r="E36" s="19">
        <v>4</v>
      </c>
      <c r="F36" s="20">
        <v>7.4</v>
      </c>
      <c r="G36" s="19">
        <v>701.79</v>
      </c>
      <c r="H36" s="19">
        <f>D36+G36</f>
      </c>
      <c r="I36" s="19">
        <v>0</v>
      </c>
      <c r="J36" s="20">
        <v>0</v>
      </c>
      <c r="K36" s="19">
        <v>0</v>
      </c>
      <c r="L36" s="19">
        <v>0</v>
      </c>
      <c r="M36" s="20">
        <v>0</v>
      </c>
      <c r="N36" s="19">
        <v>0</v>
      </c>
      <c r="O36" s="19">
        <f>K36+N36</f>
      </c>
      <c r="P36" s="19">
        <f>B36+E36+I36+L36</f>
      </c>
      <c r="Q36" s="20">
        <f>C36+F36+J36+M36</f>
      </c>
      <c r="R36" s="19">
        <f>H36+O36</f>
      </c>
      <c r="S36" s="21">
        <f>IF(Q36&gt;0, R36/Q36, 0)</f>
      </c>
    </row>
    <row r="37">
      <c r="A37" s="6" t="s">
        <v>14</v>
      </c>
      <c r="B37" s="19">
        <v>0</v>
      </c>
      <c r="C37" s="20">
        <v>0</v>
      </c>
      <c r="D37" s="19">
        <v>0</v>
      </c>
      <c r="E37" s="19">
        <v>4</v>
      </c>
      <c r="F37" s="20">
        <v>6.08</v>
      </c>
      <c r="G37" s="19">
        <v>607.12</v>
      </c>
      <c r="H37" s="19">
        <f>D37+G37</f>
      </c>
      <c r="I37" s="19">
        <v>0</v>
      </c>
      <c r="J37" s="20">
        <v>0</v>
      </c>
      <c r="K37" s="19">
        <v>0</v>
      </c>
      <c r="L37" s="19">
        <v>0</v>
      </c>
      <c r="M37" s="20">
        <v>0</v>
      </c>
      <c r="N37" s="19">
        <v>0</v>
      </c>
      <c r="O37" s="19">
        <f>K37+N37</f>
      </c>
      <c r="P37" s="19">
        <f>B37+E37+I37+L37</f>
      </c>
      <c r="Q37" s="20">
        <f>C37+F37+J37+M37</f>
      </c>
      <c r="R37" s="19">
        <f>H37+O37</f>
      </c>
      <c r="S37" s="21">
        <f>IF(Q37&gt;0, R37/Q37, 0)</f>
      </c>
    </row>
    <row r="38">
      <c r="A38" s="6" t="s">
        <v>15</v>
      </c>
      <c r="B38" s="19">
        <v>0</v>
      </c>
      <c r="C38" s="20">
        <v>0</v>
      </c>
      <c r="D38" s="19">
        <v>0</v>
      </c>
      <c r="E38" s="19">
        <v>11</v>
      </c>
      <c r="F38" s="20">
        <v>16.43</v>
      </c>
      <c r="G38" s="19">
        <v>1296.5</v>
      </c>
      <c r="H38" s="19">
        <f>D38+G38</f>
      </c>
      <c r="I38" s="19">
        <v>0</v>
      </c>
      <c r="J38" s="20">
        <v>0</v>
      </c>
      <c r="K38" s="19">
        <v>0</v>
      </c>
      <c r="L38" s="19">
        <v>0</v>
      </c>
      <c r="M38" s="20">
        <v>0</v>
      </c>
      <c r="N38" s="19">
        <v>0</v>
      </c>
      <c r="O38" s="19">
        <f>K38+N38</f>
      </c>
      <c r="P38" s="19">
        <f>B38+E38+I38+L38</f>
      </c>
      <c r="Q38" s="20">
        <f>C38+F38+J38+M38</f>
      </c>
      <c r="R38" s="19">
        <f>H38+O38</f>
      </c>
      <c r="S38" s="21">
        <f>IF(Q38&gt;0, R38/Q38, 0)</f>
      </c>
    </row>
    <row r="39">
      <c r="A39" s="6" t="s">
        <v>16</v>
      </c>
      <c r="B39" s="19">
        <v>0</v>
      </c>
      <c r="C39" s="20">
        <v>0</v>
      </c>
      <c r="D39" s="19">
        <v>0</v>
      </c>
      <c r="E39" s="19">
        <v>14</v>
      </c>
      <c r="F39" s="20">
        <v>27.3</v>
      </c>
      <c r="G39" s="19">
        <v>2570.53</v>
      </c>
      <c r="H39" s="19">
        <f>D39+G39</f>
      </c>
      <c r="I39" s="19">
        <v>0</v>
      </c>
      <c r="J39" s="20">
        <v>0</v>
      </c>
      <c r="K39" s="19">
        <v>0</v>
      </c>
      <c r="L39" s="19">
        <v>0</v>
      </c>
      <c r="M39" s="20">
        <v>0</v>
      </c>
      <c r="N39" s="19">
        <v>0</v>
      </c>
      <c r="O39" s="19">
        <f>K39+N39</f>
      </c>
      <c r="P39" s="19">
        <f>B39+E39+I39+L39</f>
      </c>
      <c r="Q39" s="20">
        <f>C39+F39+J39+M39</f>
      </c>
      <c r="R39" s="19">
        <f>H39+O39</f>
      </c>
      <c r="S39" s="21">
        <f>IF(Q39&gt;0, R39/Q39, 0)</f>
      </c>
    </row>
    <row r="40">
      <c r="A40" s="6" t="s">
        <v>17</v>
      </c>
      <c r="B40" s="19">
        <v>1</v>
      </c>
      <c r="C40" s="20">
        <v>1.51</v>
      </c>
      <c r="D40" s="19">
        <v>117.78</v>
      </c>
      <c r="E40" s="19">
        <v>35</v>
      </c>
      <c r="F40" s="20">
        <v>45.22</v>
      </c>
      <c r="G40" s="19">
        <v>3850.85</v>
      </c>
      <c r="H40" s="19">
        <f>D40+G40</f>
      </c>
      <c r="I40" s="19">
        <v>0</v>
      </c>
      <c r="J40" s="20">
        <v>0</v>
      </c>
      <c r="K40" s="19">
        <v>0</v>
      </c>
      <c r="L40" s="19">
        <v>0</v>
      </c>
      <c r="M40" s="20">
        <v>0</v>
      </c>
      <c r="N40" s="19">
        <v>0</v>
      </c>
      <c r="O40" s="19">
        <f>K40+N40</f>
      </c>
      <c r="P40" s="19">
        <f>B40+E40+I40+L40</f>
      </c>
      <c r="Q40" s="20">
        <f>C40+F40+J40+M40</f>
      </c>
      <c r="R40" s="19">
        <f>H40+O40</f>
      </c>
      <c r="S40" s="21">
        <f>IF(Q40&gt;0, R40/Q40, 0)</f>
      </c>
    </row>
    <row r="41">
      <c r="A41" s="6" t="s">
        <v>18</v>
      </c>
      <c r="B41" s="19">
        <v>3</v>
      </c>
      <c r="C41" s="20">
        <v>9.02</v>
      </c>
      <c r="D41" s="19">
        <v>981.86</v>
      </c>
      <c r="E41" s="19">
        <v>11</v>
      </c>
      <c r="F41" s="20">
        <v>14.77</v>
      </c>
      <c r="G41" s="19">
        <v>1261.02</v>
      </c>
      <c r="H41" s="19">
        <f>D41+G41</f>
      </c>
      <c r="I41" s="19">
        <v>0</v>
      </c>
      <c r="J41" s="20">
        <v>0</v>
      </c>
      <c r="K41" s="19">
        <v>0</v>
      </c>
      <c r="L41" s="19">
        <v>0</v>
      </c>
      <c r="M41" s="20">
        <v>0</v>
      </c>
      <c r="N41" s="19">
        <v>0</v>
      </c>
      <c r="O41" s="19">
        <f>K41+N41</f>
      </c>
      <c r="P41" s="19">
        <f>B41+E41+I41+L41</f>
      </c>
      <c r="Q41" s="20">
        <f>C41+F41+J41+M41</f>
      </c>
      <c r="R41" s="19">
        <f>H41+O41</f>
      </c>
      <c r="S41" s="21">
        <f>IF(Q41&gt;0, R41/Q41, 0)</f>
      </c>
    </row>
    <row r="42" s="2" customFormat="1">
      <c r="A42" s="15" t="s">
        <v>33</v>
      </c>
      <c r="B42" s="16">
        <f>SUM(B43:B44)</f>
      </c>
      <c r="C42" s="17">
        <f>SUM(C43:C44)</f>
      </c>
      <c r="D42" s="16">
        <f>SUM(D43:D44)</f>
      </c>
      <c r="E42" s="16">
        <f>SUM(E43:E44)</f>
      </c>
      <c r="F42" s="17">
        <f>SUM(F43:F44)</f>
      </c>
      <c r="G42" s="16">
        <f>SUM(G43:G44)</f>
      </c>
      <c r="H42" s="16">
        <f>SUM(H43:H44)</f>
      </c>
      <c r="I42" s="16">
        <f>SUM(I43:I44)</f>
      </c>
      <c r="J42" s="17">
        <f>SUM(J43:J44)</f>
      </c>
      <c r="K42" s="16">
        <f>SUM(K43:K44)</f>
      </c>
      <c r="L42" s="16">
        <f>SUM(L43:L44)</f>
      </c>
      <c r="M42" s="17">
        <f>SUM(M43:M44)</f>
      </c>
      <c r="N42" s="16">
        <f>SUM(N43:N44)</f>
      </c>
      <c r="O42" s="16">
        <f>SUM(O43:O44)</f>
      </c>
      <c r="P42" s="16">
        <f>SUM(P43:P44)</f>
      </c>
      <c r="Q42" s="17">
        <f>SUM(Q43:Q44)</f>
      </c>
      <c r="R42" s="16">
        <f>SUM(R43:R44)</f>
      </c>
      <c r="S42" s="18">
        <f>IF(Q42&gt;0, R42/Q42, 0)</f>
      </c>
    </row>
    <row r="43">
      <c r="A43" s="6" t="s">
        <v>34</v>
      </c>
      <c r="B43" s="19">
        <v>0</v>
      </c>
      <c r="C43" s="20">
        <v>0</v>
      </c>
      <c r="D43" s="19">
        <v>0</v>
      </c>
      <c r="E43" s="19">
        <v>0</v>
      </c>
      <c r="F43" s="20">
        <v>0</v>
      </c>
      <c r="G43" s="19">
        <v>0</v>
      </c>
      <c r="H43" s="19">
        <f>D43+G43</f>
      </c>
      <c r="I43" s="19">
        <v>0</v>
      </c>
      <c r="J43" s="20">
        <v>0</v>
      </c>
      <c r="K43" s="19">
        <v>0</v>
      </c>
      <c r="L43" s="19">
        <v>1</v>
      </c>
      <c r="M43" s="20">
        <v>5.02</v>
      </c>
      <c r="N43" s="19">
        <v>903.6</v>
      </c>
      <c r="O43" s="19">
        <f>K43+N43</f>
      </c>
      <c r="P43" s="19">
        <f>B43+E43+I43+L43</f>
      </c>
      <c r="Q43" s="20">
        <f>C43+F43+J43+M43</f>
      </c>
      <c r="R43" s="19">
        <f>H43+O43</f>
      </c>
      <c r="S43" s="21">
        <f>IF(Q43&gt;0, R43/Q43, 0)</f>
      </c>
    </row>
    <row r="44">
      <c r="A44" s="6" t="s">
        <v>35</v>
      </c>
      <c r="B44" s="19">
        <v>0</v>
      </c>
      <c r="C44" s="20">
        <v>0</v>
      </c>
      <c r="D44" s="19">
        <v>0</v>
      </c>
      <c r="E44" s="19">
        <v>0</v>
      </c>
      <c r="F44" s="20">
        <v>0</v>
      </c>
      <c r="G44" s="19">
        <v>0</v>
      </c>
      <c r="H44" s="19">
        <f>D44+G44</f>
      </c>
      <c r="I44" s="19">
        <v>1</v>
      </c>
      <c r="J44" s="20">
        <v>1.5</v>
      </c>
      <c r="K44" s="19">
        <v>163.5</v>
      </c>
      <c r="L44" s="19">
        <v>0</v>
      </c>
      <c r="M44" s="20">
        <v>0</v>
      </c>
      <c r="N44" s="19">
        <v>0</v>
      </c>
      <c r="O44" s="19">
        <f>K44+N44</f>
      </c>
      <c r="P44" s="19">
        <f>B44+E44+I44+L44</f>
      </c>
      <c r="Q44" s="20">
        <f>C44+F44+J44+M44</f>
      </c>
      <c r="R44" s="19">
        <f>H44+O44</f>
      </c>
      <c r="S44" s="21">
        <f>IF(Q44&gt;0, R44/Q44, 0)</f>
      </c>
    </row>
    <row r="45" s="2" customFormat="1">
      <c r="A45" s="15" t="s">
        <v>36</v>
      </c>
      <c r="B45" s="16">
        <f>SUM(B46:B57)</f>
      </c>
      <c r="C45" s="17">
        <f>SUM(C46:C57)</f>
      </c>
      <c r="D45" s="16">
        <f>SUM(D46:D57)</f>
      </c>
      <c r="E45" s="16">
        <f>SUM(E46:E57)</f>
      </c>
      <c r="F45" s="17">
        <f>SUM(F46:F57)</f>
      </c>
      <c r="G45" s="16">
        <f>SUM(G46:G57)</f>
      </c>
      <c r="H45" s="16">
        <f>SUM(H46:H57)</f>
      </c>
      <c r="I45" s="16">
        <f>SUM(I46:I57)</f>
      </c>
      <c r="J45" s="17">
        <f>SUM(J46:J57)</f>
      </c>
      <c r="K45" s="16">
        <f>SUM(K46:K57)</f>
      </c>
      <c r="L45" s="16">
        <f>SUM(L46:L57)</f>
      </c>
      <c r="M45" s="17">
        <f>SUM(M46:M57)</f>
      </c>
      <c r="N45" s="16">
        <f>SUM(N46:N57)</f>
      </c>
      <c r="O45" s="16">
        <f>SUM(O46:O57)</f>
      </c>
      <c r="P45" s="16">
        <f>SUM(P46:P57)</f>
      </c>
      <c r="Q45" s="17">
        <f>SUM(Q46:Q57)</f>
      </c>
      <c r="R45" s="16">
        <f>SUM(R46:R57)</f>
      </c>
      <c r="S45" s="18">
        <f>IF(Q45&gt;0, R45/Q45, 0)</f>
      </c>
    </row>
    <row r="46">
      <c r="A46" s="6" t="s">
        <v>27</v>
      </c>
      <c r="B46" s="19">
        <v>0</v>
      </c>
      <c r="C46" s="20">
        <v>0</v>
      </c>
      <c r="D46" s="19">
        <v>0</v>
      </c>
      <c r="E46" s="19">
        <v>0</v>
      </c>
      <c r="F46" s="20">
        <v>0</v>
      </c>
      <c r="G46" s="19">
        <v>0</v>
      </c>
      <c r="H46" s="19">
        <f>D46+G46</f>
      </c>
      <c r="I46" s="19">
        <v>0</v>
      </c>
      <c r="J46" s="20">
        <v>0</v>
      </c>
      <c r="K46" s="19">
        <v>0</v>
      </c>
      <c r="L46" s="19">
        <v>39</v>
      </c>
      <c r="M46" s="20">
        <v>175.26</v>
      </c>
      <c r="N46" s="19">
        <v>21579.87</v>
      </c>
      <c r="O46" s="19">
        <f>K46+N46</f>
      </c>
      <c r="P46" s="19">
        <f>B46+E46+I46+L46</f>
      </c>
      <c r="Q46" s="20">
        <f>C46+F46+J46+M46</f>
      </c>
      <c r="R46" s="19">
        <f>H46+O46</f>
      </c>
      <c r="S46" s="21">
        <f>IF(Q46&gt;0, R46/Q46, 0)</f>
      </c>
    </row>
    <row r="47">
      <c r="A47" s="6" t="s">
        <v>24</v>
      </c>
      <c r="B47" s="19">
        <v>0</v>
      </c>
      <c r="C47" s="20">
        <v>0</v>
      </c>
      <c r="D47" s="19">
        <v>0</v>
      </c>
      <c r="E47" s="19">
        <v>0</v>
      </c>
      <c r="F47" s="20">
        <v>0</v>
      </c>
      <c r="G47" s="19">
        <v>0</v>
      </c>
      <c r="H47" s="19">
        <f>D47+G47</f>
      </c>
      <c r="I47" s="19">
        <v>4</v>
      </c>
      <c r="J47" s="20">
        <v>4.81</v>
      </c>
      <c r="K47" s="19">
        <v>527.85</v>
      </c>
      <c r="L47" s="19">
        <v>7</v>
      </c>
      <c r="M47" s="20">
        <v>18.32</v>
      </c>
      <c r="N47" s="19">
        <v>2045.4</v>
      </c>
      <c r="O47" s="19">
        <f>K47+N47</f>
      </c>
      <c r="P47" s="19">
        <f>B47+E47+I47+L47</f>
      </c>
      <c r="Q47" s="20">
        <f>C47+F47+J47+M47</f>
      </c>
      <c r="R47" s="19">
        <f>H47+O47</f>
      </c>
      <c r="S47" s="21">
        <f>IF(Q47&gt;0, R47/Q47, 0)</f>
      </c>
    </row>
    <row r="48">
      <c r="A48" s="6" t="s">
        <v>37</v>
      </c>
      <c r="B48" s="19">
        <v>0</v>
      </c>
      <c r="C48" s="20">
        <v>0</v>
      </c>
      <c r="D48" s="19">
        <v>0</v>
      </c>
      <c r="E48" s="19">
        <v>0</v>
      </c>
      <c r="F48" s="20">
        <v>0</v>
      </c>
      <c r="G48" s="19">
        <v>0</v>
      </c>
      <c r="H48" s="19">
        <f>D48+G48</f>
      </c>
      <c r="I48" s="19">
        <v>0</v>
      </c>
      <c r="J48" s="20">
        <v>0</v>
      </c>
      <c r="K48" s="19">
        <v>0</v>
      </c>
      <c r="L48" s="19">
        <v>1</v>
      </c>
      <c r="M48" s="20">
        <v>4.05</v>
      </c>
      <c r="N48" s="19">
        <v>364.5</v>
      </c>
      <c r="O48" s="19">
        <f>K48+N48</f>
      </c>
      <c r="P48" s="19">
        <f>B48+E48+I48+L48</f>
      </c>
      <c r="Q48" s="20">
        <f>C48+F48+J48+M48</f>
      </c>
      <c r="R48" s="19">
        <f>H48+O48</f>
      </c>
      <c r="S48" s="21">
        <f>IF(Q48&gt;0, R48/Q48, 0)</f>
      </c>
    </row>
    <row r="49">
      <c r="A49" s="6" t="s">
        <v>38</v>
      </c>
      <c r="B49" s="19">
        <v>0</v>
      </c>
      <c r="C49" s="20">
        <v>0</v>
      </c>
      <c r="D49" s="19">
        <v>0</v>
      </c>
      <c r="E49" s="19">
        <v>0</v>
      </c>
      <c r="F49" s="20">
        <v>0</v>
      </c>
      <c r="G49" s="19">
        <v>0</v>
      </c>
      <c r="H49" s="19">
        <f>D49+G49</f>
      </c>
      <c r="I49" s="19">
        <v>0</v>
      </c>
      <c r="J49" s="20">
        <v>0</v>
      </c>
      <c r="K49" s="19">
        <v>0</v>
      </c>
      <c r="L49" s="19">
        <v>1</v>
      </c>
      <c r="M49" s="20">
        <v>2.07</v>
      </c>
      <c r="N49" s="19">
        <v>202.86</v>
      </c>
      <c r="O49" s="19">
        <f>K49+N49</f>
      </c>
      <c r="P49" s="19">
        <f>B49+E49+I49+L49</f>
      </c>
      <c r="Q49" s="20">
        <f>C49+F49+J49+M49</f>
      </c>
      <c r="R49" s="19">
        <f>H49+O49</f>
      </c>
      <c r="S49" s="21">
        <f>IF(Q49&gt;0, R49/Q49, 0)</f>
      </c>
    </row>
    <row r="50">
      <c r="A50" s="6" t="s">
        <v>39</v>
      </c>
      <c r="B50" s="19">
        <v>0</v>
      </c>
      <c r="C50" s="20">
        <v>0</v>
      </c>
      <c r="D50" s="19">
        <v>0</v>
      </c>
      <c r="E50" s="19">
        <v>0</v>
      </c>
      <c r="F50" s="20">
        <v>0</v>
      </c>
      <c r="G50" s="19">
        <v>0</v>
      </c>
      <c r="H50" s="19">
        <f>D50+G50</f>
      </c>
      <c r="I50" s="19">
        <v>0</v>
      </c>
      <c r="J50" s="20">
        <v>0</v>
      </c>
      <c r="K50" s="19">
        <v>0</v>
      </c>
      <c r="L50" s="19">
        <v>1</v>
      </c>
      <c r="M50" s="20">
        <v>2.04</v>
      </c>
      <c r="N50" s="19">
        <v>222.14</v>
      </c>
      <c r="O50" s="19">
        <f>K50+N50</f>
      </c>
      <c r="P50" s="19">
        <f>B50+E50+I50+L50</f>
      </c>
      <c r="Q50" s="20">
        <f>C50+F50+J50+M50</f>
      </c>
      <c r="R50" s="19">
        <f>H50+O50</f>
      </c>
      <c r="S50" s="21">
        <f>IF(Q50&gt;0, R50/Q50, 0)</f>
      </c>
    </row>
    <row r="51">
      <c r="A51" s="6" t="s">
        <v>40</v>
      </c>
      <c r="B51" s="19">
        <v>0</v>
      </c>
      <c r="C51" s="20">
        <v>0</v>
      </c>
      <c r="D51" s="19">
        <v>0</v>
      </c>
      <c r="E51" s="19">
        <v>0</v>
      </c>
      <c r="F51" s="20">
        <v>0</v>
      </c>
      <c r="G51" s="19">
        <v>0</v>
      </c>
      <c r="H51" s="19">
        <f>D51+G51</f>
      </c>
      <c r="I51" s="19">
        <v>0</v>
      </c>
      <c r="J51" s="20">
        <v>0</v>
      </c>
      <c r="K51" s="19">
        <v>0</v>
      </c>
      <c r="L51" s="19">
        <v>1</v>
      </c>
      <c r="M51" s="20">
        <v>1.6</v>
      </c>
      <c r="N51" s="19">
        <v>0</v>
      </c>
      <c r="O51" s="19">
        <f>K51+N51</f>
      </c>
      <c r="P51" s="19">
        <f>B51+E51+I51+L51</f>
      </c>
      <c r="Q51" s="20">
        <f>C51+F51+J51+M51</f>
      </c>
      <c r="R51" s="19">
        <f>H51+O51</f>
      </c>
      <c r="S51" s="21">
        <f>IF(Q51&gt;0, R51/Q51, 0)</f>
      </c>
    </row>
    <row r="52">
      <c r="A52" s="6" t="s">
        <v>41</v>
      </c>
      <c r="B52" s="19">
        <v>0</v>
      </c>
      <c r="C52" s="20">
        <v>0</v>
      </c>
      <c r="D52" s="19">
        <v>0</v>
      </c>
      <c r="E52" s="19">
        <v>0</v>
      </c>
      <c r="F52" s="20">
        <v>0</v>
      </c>
      <c r="G52" s="19">
        <v>0</v>
      </c>
      <c r="H52" s="19">
        <f>D52+G52</f>
      </c>
      <c r="I52" s="19">
        <v>0</v>
      </c>
      <c r="J52" s="20">
        <v>0</v>
      </c>
      <c r="K52" s="19">
        <v>0</v>
      </c>
      <c r="L52" s="19">
        <v>1</v>
      </c>
      <c r="M52" s="20">
        <v>1.08</v>
      </c>
      <c r="N52" s="19">
        <v>0</v>
      </c>
      <c r="O52" s="19">
        <f>K52+N52</f>
      </c>
      <c r="P52" s="19">
        <f>B52+E52+I52+L52</f>
      </c>
      <c r="Q52" s="20">
        <f>C52+F52+J52+M52</f>
      </c>
      <c r="R52" s="19">
        <f>H52+O52</f>
      </c>
      <c r="S52" s="21">
        <f>IF(Q52&gt;0, R52/Q52, 0)</f>
      </c>
    </row>
    <row r="53">
      <c r="A53" s="6" t="s">
        <v>42</v>
      </c>
      <c r="B53" s="19">
        <v>0</v>
      </c>
      <c r="C53" s="20">
        <v>0</v>
      </c>
      <c r="D53" s="19">
        <v>0</v>
      </c>
      <c r="E53" s="19">
        <v>0</v>
      </c>
      <c r="F53" s="20">
        <v>0</v>
      </c>
      <c r="G53" s="19">
        <v>0</v>
      </c>
      <c r="H53" s="19">
        <f>D53+G53</f>
      </c>
      <c r="I53" s="19">
        <v>0</v>
      </c>
      <c r="J53" s="20">
        <v>0</v>
      </c>
      <c r="K53" s="19">
        <v>0</v>
      </c>
      <c r="L53" s="19">
        <v>4</v>
      </c>
      <c r="M53" s="20">
        <v>8.6</v>
      </c>
      <c r="N53" s="19">
        <v>877.92</v>
      </c>
      <c r="O53" s="19">
        <f>K53+N53</f>
      </c>
      <c r="P53" s="19">
        <f>B53+E53+I53+L53</f>
      </c>
      <c r="Q53" s="20">
        <f>C53+F53+J53+M53</f>
      </c>
      <c r="R53" s="19">
        <f>H53+O53</f>
      </c>
      <c r="S53" s="21">
        <f>IF(Q53&gt;0, R53/Q53, 0)</f>
      </c>
    </row>
    <row r="54">
      <c r="A54" s="6" t="s">
        <v>43</v>
      </c>
      <c r="B54" s="19">
        <v>0</v>
      </c>
      <c r="C54" s="20">
        <v>0</v>
      </c>
      <c r="D54" s="19">
        <v>0</v>
      </c>
      <c r="E54" s="19">
        <v>0</v>
      </c>
      <c r="F54" s="20">
        <v>0</v>
      </c>
      <c r="G54" s="19">
        <v>0</v>
      </c>
      <c r="H54" s="19">
        <f>D54+G54</f>
      </c>
      <c r="I54" s="19">
        <v>0</v>
      </c>
      <c r="J54" s="20">
        <v>0</v>
      </c>
      <c r="K54" s="19">
        <v>0</v>
      </c>
      <c r="L54" s="19">
        <v>1</v>
      </c>
      <c r="M54" s="20">
        <v>1.53</v>
      </c>
      <c r="N54" s="19">
        <v>0</v>
      </c>
      <c r="O54" s="19">
        <f>K54+N54</f>
      </c>
      <c r="P54" s="19">
        <f>B54+E54+I54+L54</f>
      </c>
      <c r="Q54" s="20">
        <f>C54+F54+J54+M54</f>
      </c>
      <c r="R54" s="19">
        <f>H54+O54</f>
      </c>
      <c r="S54" s="21">
        <f>IF(Q54&gt;0, R54/Q54, 0)</f>
      </c>
    </row>
    <row r="55">
      <c r="A55" s="6" t="s">
        <v>44</v>
      </c>
      <c r="B55" s="19">
        <v>0</v>
      </c>
      <c r="C55" s="20">
        <v>0</v>
      </c>
      <c r="D55" s="19">
        <v>0</v>
      </c>
      <c r="E55" s="19">
        <v>0</v>
      </c>
      <c r="F55" s="20">
        <v>0</v>
      </c>
      <c r="G55" s="19">
        <v>0</v>
      </c>
      <c r="H55" s="19">
        <f>D55+G55</f>
      </c>
      <c r="I55" s="19">
        <v>97</v>
      </c>
      <c r="J55" s="20">
        <v>136.12</v>
      </c>
      <c r="K55" s="19">
        <v>13995.51</v>
      </c>
      <c r="L55" s="19">
        <v>0</v>
      </c>
      <c r="M55" s="20">
        <v>0</v>
      </c>
      <c r="N55" s="19">
        <v>0</v>
      </c>
      <c r="O55" s="19">
        <f>K55+N55</f>
      </c>
      <c r="P55" s="19">
        <f>B55+E55+I55+L55</f>
      </c>
      <c r="Q55" s="20">
        <f>C55+F55+J55+M55</f>
      </c>
      <c r="R55" s="19">
        <f>H55+O55</f>
      </c>
      <c r="S55" s="21">
        <f>IF(Q55&gt;0, R55/Q55, 0)</f>
      </c>
    </row>
    <row r="56">
      <c r="A56" s="6" t="s">
        <v>45</v>
      </c>
      <c r="B56" s="19">
        <v>0</v>
      </c>
      <c r="C56" s="20">
        <v>0</v>
      </c>
      <c r="D56" s="19">
        <v>0</v>
      </c>
      <c r="E56" s="19">
        <v>0</v>
      </c>
      <c r="F56" s="20">
        <v>0</v>
      </c>
      <c r="G56" s="19">
        <v>0</v>
      </c>
      <c r="H56" s="19">
        <f>D56+G56</f>
      </c>
      <c r="I56" s="19">
        <v>369</v>
      </c>
      <c r="J56" s="20">
        <v>557.7</v>
      </c>
      <c r="K56" s="19">
        <v>54931.66</v>
      </c>
      <c r="L56" s="19">
        <v>0</v>
      </c>
      <c r="M56" s="20">
        <v>0</v>
      </c>
      <c r="N56" s="19">
        <v>0</v>
      </c>
      <c r="O56" s="19">
        <f>K56+N56</f>
      </c>
      <c r="P56" s="19">
        <f>B56+E56+I56+L56</f>
      </c>
      <c r="Q56" s="20">
        <f>C56+F56+J56+M56</f>
      </c>
      <c r="R56" s="19">
        <f>H56+O56</f>
      </c>
      <c r="S56" s="21">
        <f>IF(Q56&gt;0, R56/Q56, 0)</f>
      </c>
    </row>
    <row r="57">
      <c r="A57" s="6" t="s">
        <v>15</v>
      </c>
      <c r="B57" s="19">
        <v>0</v>
      </c>
      <c r="C57" s="20">
        <v>0</v>
      </c>
      <c r="D57" s="19">
        <v>0</v>
      </c>
      <c r="E57" s="19">
        <v>0</v>
      </c>
      <c r="F57" s="20">
        <v>0</v>
      </c>
      <c r="G57" s="19">
        <v>0</v>
      </c>
      <c r="H57" s="19">
        <f>D57+G57</f>
      </c>
      <c r="I57" s="19">
        <v>1</v>
      </c>
      <c r="J57" s="20">
        <v>1.84</v>
      </c>
      <c r="K57" s="19">
        <v>145.36</v>
      </c>
      <c r="L57" s="19">
        <v>0</v>
      </c>
      <c r="M57" s="20">
        <v>0</v>
      </c>
      <c r="N57" s="19">
        <v>0</v>
      </c>
      <c r="O57" s="19">
        <f>K57+N57</f>
      </c>
      <c r="P57" s="19">
        <f>B57+E57+I57+L57</f>
      </c>
      <c r="Q57" s="20">
        <f>C57+F57+J57+M57</f>
      </c>
      <c r="R57" s="19">
        <f>H57+O57</f>
      </c>
      <c r="S57" s="21">
        <f>IF(Q57&gt;0, R57/Q57, 0)</f>
      </c>
    </row>
    <row r="58" s="2" customFormat="1">
      <c r="A58" s="8" t="s">
        <v>46</v>
      </c>
      <c r="B58" s="22">
        <f>B5+B11+B14+B19+B22+B25+B28+B31+B35+B42+B45</f>
      </c>
      <c r="C58" s="23">
        <f>C5+C11+C14+C19+C22+C25+C28+C31+C35+C42+C45</f>
      </c>
      <c r="D58" s="22">
        <f>D5+D11+D14+D19+D22+D25+D28+D31+D35+D42+D45</f>
      </c>
      <c r="E58" s="22">
        <f>E5+E11+E14+E19+E22+E25+E28+E31+E35+E42+E45</f>
      </c>
      <c r="F58" s="23">
        <f>F5+F11+F14+F19+F22+F25+F28+F31+F35+F42+F45</f>
      </c>
      <c r="G58" s="22">
        <f>G5+G11+G14+G19+G22+G25+G28+G31+G35+G42+G45</f>
      </c>
      <c r="H58" s="22">
        <f>H5+H11+H14+H19+H22+H25+H28+H31+H35+H42+H45</f>
      </c>
      <c r="I58" s="22">
        <f>I5+I11+I14+I19+I22+I25+I28+I31+I35+I42+I45</f>
      </c>
      <c r="J58" s="23">
        <f>J5+J11+J14+J19+J22+J25+J28+J31+J35+J42+J45</f>
      </c>
      <c r="K58" s="22">
        <f>K5+K11+K14+K19+K22+K25+K28+K31+K35+K42+K45</f>
      </c>
      <c r="L58" s="22">
        <f>L5+L11+L14+L19+L22+L25+L28+L31+L35+L42+L45</f>
      </c>
      <c r="M58" s="23">
        <f>M5+M11+M14+M19+M22+M25+M28+M31+M35+M42+M45</f>
      </c>
      <c r="N58" s="22">
        <f>N5+N11+N14+N19+N22+N25+N28+N31+N35+N42+N45</f>
      </c>
      <c r="O58" s="22">
        <f>O5+O11+O14+O19+O22+O25+O28+O31+O35+O42+O45</f>
      </c>
      <c r="P58" s="22">
        <f>P5+P11+P14+P19+P22+P25+P28+P31+P35+P42+P45</f>
      </c>
      <c r="Q58" s="23">
        <f>Q5+Q11+Q14+Q19+Q22+Q25+Q28+Q31+Q35+Q42+Q45</f>
      </c>
      <c r="R58" s="22">
        <f>R5+R11+R14+R19+R22+R25+R28+R31+R35+R42+R45</f>
      </c>
      <c r="S58" s="24">
        <f>IF(Q58&gt;0, R58/Q58, 0)</f>
      </c>
    </row>
    <row r="59" s="2" customFormat="1">
      <c r="A59" s="25" t="s">
        <v>47</v>
      </c>
      <c r="B59" s="26">
        <f>IF(P58&gt;0, B58/P58, 0)</f>
      </c>
      <c r="C59" s="17"/>
      <c r="D59" s="16"/>
      <c r="E59" s="26">
        <f>IF(P58&gt;0, E58/P58, 0)</f>
      </c>
      <c r="F59" s="17"/>
      <c r="G59" s="16"/>
      <c r="H59" s="16"/>
      <c r="I59" s="26">
        <f>IF(P58&gt;0, I58/P58, 0)</f>
      </c>
      <c r="J59" s="17"/>
      <c r="K59" s="16"/>
      <c r="L59" s="26">
        <f>IF(P58&gt;0, L58/P58, 0)</f>
      </c>
      <c r="M59" s="17"/>
      <c r="N59" s="16"/>
      <c r="O59" s="16"/>
      <c r="P59" s="26">
        <f>IF(P58&gt;0, P58/P58, 0)</f>
      </c>
      <c r="Q59" s="17"/>
      <c r="R59" s="16"/>
      <c r="S59" s="18"/>
    </row>
  </sheetData>
  <mergeCells>
    <mergeCell ref="A1:S1"/>
    <mergeCell ref="A2:A4"/>
    <mergeCell ref="B2:H2"/>
    <mergeCell ref="I2:O2"/>
    <mergeCell ref="P2:P4"/>
    <mergeCell ref="Q2:Q4"/>
    <mergeCell ref="R2:R4"/>
    <mergeCell ref="S2:S4"/>
    <mergeCell ref="B3:D3"/>
    <mergeCell ref="E3:G3"/>
    <mergeCell ref="H3:H4"/>
    <mergeCell ref="I3:K3"/>
    <mergeCell ref="L3:N3"/>
    <mergeCell ref="O3:O4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MEMO &amp; HOLD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