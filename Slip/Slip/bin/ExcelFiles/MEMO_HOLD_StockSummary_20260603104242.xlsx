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<sst xmlns="http://schemas.openxmlformats.org/spreadsheetml/2006/main" count="98" uniqueCount="98">
  <si>
    <t>30-05-2026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</si>
  <si>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</si>
  <si>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</si>
  <si>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</si>
  <si>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</si>
  <si>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</si>
  <si>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</si>
  <si>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</si>
  <si>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</si>
  <si>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</si>
  <si>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</si>
  <si>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</si>
  <si>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</si>
  <si>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</si>
  <si>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26-05-2026</t>
  </si>
  <si>
    <t>27-05-2026</t>
  </si>
  <si>
    <t>28-05-2026</t>
  </si>
  <si>
    <t>29-05-2026</t>
  </si>
  <si>
    <t>30-05-2026</t>
  </si>
  <si>
    <t>01-06-2026</t>
  </si>
  <si>
    <t>02-06-2026</t>
  </si>
  <si>
    <t>03-06-2026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</si>
  <si>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</si>
  <si>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</si>
  <si>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</si>
  <si>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</si>
  <si>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</si>
  <si>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</si>
  <si>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</si>
  <si>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</si>
  <si>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</si>
  <si>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</si>
  <si>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</si>
  <si>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</si>
  <si>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</si>
  <si>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</si>
  <si>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</si>
  <si>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</si>
  <si>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</si>
  <si>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</si>
  <si>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</si>
  <si>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</si>
  <si>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</si>
  <si>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</si>
  <si>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</si>
  <si>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</si>
  <si>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</si>
  <si>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</si>
  <si>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</si>
  <si>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Shraddha Patel</t>
  </si>
  <si>
    <t>VDB</t>
  </si>
  <si>
    <t>Total</t>
  </si>
  <si>
    <t>%</t>
  </si>
  <si>
    <t>Status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</si>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</sst>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76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11.6540651321411" customWidth="1" style="1"/>
    <col min="11" max="11" width="9.43706703186035" customWidth="1" style="1"/>
    <col min="12" max="12" width="9.140625" customWidth="1" style="1"/>
    <col min="13" max="13" width="11.6540651321411" customWidth="1" style="1"/>
    <col min="14" max="14" width="9.4370670318603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SUM(B6:B13)</f>
      </c>
      <c r="C5" s="17">
        <f>SUM(C6:C13)</f>
      </c>
      <c r="D5" s="16">
        <f>SUM(D6:D13)</f>
      </c>
      <c r="E5" s="16">
        <f>SUM(E6:E13)</f>
      </c>
      <c r="F5" s="17">
        <f>SUM(F6:F13)</f>
      </c>
      <c r="G5" s="16">
        <f>SUM(G6:G13)</f>
      </c>
      <c r="H5" s="16">
        <f>SUM(H6:H13)</f>
      </c>
      <c r="I5" s="16">
        <f>SUM(I6:I13)</f>
      </c>
      <c r="J5" s="17">
        <f>SUM(J6:J13)</f>
      </c>
      <c r="K5" s="16">
        <f>SUM(K6:K13)</f>
      </c>
      <c r="L5" s="16">
        <f>SUM(L6:L13)</f>
      </c>
      <c r="M5" s="17">
        <f>SUM(M6:M13)</f>
      </c>
      <c r="N5" s="16">
        <f>SUM(N6:N13)</f>
      </c>
      <c r="O5" s="16">
        <f>SUM(O6:O13)</f>
      </c>
      <c r="P5" s="16">
        <f>SUM(P6:P13)</f>
      </c>
      <c r="Q5" s="17">
        <f>SUM(Q6:Q13)</f>
      </c>
      <c r="R5" s="16">
        <f>SUM(R6:R13)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2.12</v>
      </c>
      <c r="G6" s="19">
        <v>182.32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1</v>
      </c>
      <c r="F7" s="20">
        <v>1.05</v>
      </c>
      <c r="G7" s="19">
        <v>91.35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7</v>
      </c>
      <c r="F8" s="20">
        <v>8.48</v>
      </c>
      <c r="G8" s="19">
        <v>650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14</v>
      </c>
      <c r="F9" s="20">
        <v>14.53</v>
      </c>
      <c r="G9" s="19">
        <v>1351.29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6</v>
      </c>
      <c r="C10" s="20">
        <v>10.9</v>
      </c>
      <c r="D10" s="19">
        <v>958.24</v>
      </c>
      <c r="E10" s="19">
        <v>0</v>
      </c>
      <c r="F10" s="20">
        <v>0</v>
      </c>
      <c r="G10" s="19">
        <v>0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>
      <c r="A11" s="6" t="s">
        <v>19</v>
      </c>
      <c r="B11" s="19">
        <v>0</v>
      </c>
      <c r="C11" s="20">
        <v>0</v>
      </c>
      <c r="D11" s="19">
        <v>0</v>
      </c>
      <c r="E11" s="19">
        <v>8</v>
      </c>
      <c r="F11" s="20">
        <v>20.26</v>
      </c>
      <c r="G11" s="19">
        <v>1602.43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>
      <c r="A12" s="6" t="s">
        <v>20</v>
      </c>
      <c r="B12" s="19">
        <v>4</v>
      </c>
      <c r="C12" s="20">
        <v>5.44</v>
      </c>
      <c r="D12" s="19">
        <v>384.36</v>
      </c>
      <c r="E12" s="19">
        <v>1</v>
      </c>
      <c r="F12" s="20">
        <v>2.05</v>
      </c>
      <c r="G12" s="19">
        <v>276.75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21</v>
      </c>
      <c r="B13" s="19">
        <v>1</v>
      </c>
      <c r="C13" s="20">
        <v>1.66</v>
      </c>
      <c r="D13" s="19">
        <v>154.38</v>
      </c>
      <c r="E13" s="19">
        <v>0</v>
      </c>
      <c r="F13" s="20">
        <v>0</v>
      </c>
      <c r="G13" s="19">
        <v>0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22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17</v>
      </c>
      <c r="B15" s="19">
        <v>0</v>
      </c>
      <c r="C15" s="20">
        <v>0</v>
      </c>
      <c r="D15" s="19">
        <v>0</v>
      </c>
      <c r="E15" s="19">
        <v>1</v>
      </c>
      <c r="F15" s="20">
        <v>1.54</v>
      </c>
      <c r="G15" s="19">
        <v>120.12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18</v>
      </c>
      <c r="B16" s="19">
        <v>1</v>
      </c>
      <c r="C16" s="20">
        <v>2.61</v>
      </c>
      <c r="D16" s="19">
        <v>148.77</v>
      </c>
      <c r="E16" s="19">
        <v>5</v>
      </c>
      <c r="F16" s="20">
        <v>8.81</v>
      </c>
      <c r="G16" s="19">
        <v>702.45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19</v>
      </c>
      <c r="B17" s="19">
        <v>0</v>
      </c>
      <c r="C17" s="20">
        <v>0</v>
      </c>
      <c r="D17" s="19">
        <v>0</v>
      </c>
      <c r="E17" s="19">
        <v>2</v>
      </c>
      <c r="F17" s="20">
        <v>4.02</v>
      </c>
      <c r="G17" s="19">
        <v>337.68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20</v>
      </c>
      <c r="B18" s="19">
        <v>0</v>
      </c>
      <c r="C18" s="20">
        <v>0</v>
      </c>
      <c r="D18" s="19">
        <v>0</v>
      </c>
      <c r="E18" s="19">
        <v>6</v>
      </c>
      <c r="F18" s="20">
        <v>8.52</v>
      </c>
      <c r="G18" s="19">
        <v>753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23</v>
      </c>
      <c r="B19" s="16">
        <f>SUM(B20:B25)</f>
      </c>
      <c r="C19" s="17">
        <f>SUM(C20:C25)</f>
      </c>
      <c r="D19" s="16">
        <f>SUM(D20:D25)</f>
      </c>
      <c r="E19" s="16">
        <f>SUM(E20:E25)</f>
      </c>
      <c r="F19" s="17">
        <f>SUM(F20:F25)</f>
      </c>
      <c r="G19" s="16">
        <f>SUM(G20:G25)</f>
      </c>
      <c r="H19" s="16">
        <f>SUM(H20:H25)</f>
      </c>
      <c r="I19" s="16">
        <f>SUM(I20:I25)</f>
      </c>
      <c r="J19" s="17">
        <f>SUM(J20:J25)</f>
      </c>
      <c r="K19" s="16">
        <f>SUM(K20:K25)</f>
      </c>
      <c r="L19" s="16">
        <f>SUM(L20:L25)</f>
      </c>
      <c r="M19" s="17">
        <f>SUM(M20:M25)</f>
      </c>
      <c r="N19" s="16">
        <f>SUM(N20:N25)</f>
      </c>
      <c r="O19" s="16">
        <f>SUM(O20:O25)</f>
      </c>
      <c r="P19" s="16">
        <f>SUM(P20:P25)</f>
      </c>
      <c r="Q19" s="17">
        <f>SUM(Q20:Q25)</f>
      </c>
      <c r="R19" s="16">
        <f>SUM(R20:R25)</f>
      </c>
      <c r="S19" s="18">
        <f>IF(Q19&gt;0, R19/Q19, 0)</f>
      </c>
    </row>
    <row r="20">
      <c r="A20" s="6" t="s">
        <v>15</v>
      </c>
      <c r="B20" s="19">
        <v>0</v>
      </c>
      <c r="C20" s="20">
        <v>0</v>
      </c>
      <c r="D20" s="19">
        <v>0</v>
      </c>
      <c r="E20" s="19">
        <v>39</v>
      </c>
      <c r="F20" s="20">
        <v>42.71</v>
      </c>
      <c r="G20" s="19">
        <v>3104.92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16</v>
      </c>
      <c r="B21" s="19">
        <v>0</v>
      </c>
      <c r="C21" s="20">
        <v>0</v>
      </c>
      <c r="D21" s="19">
        <v>0</v>
      </c>
      <c r="E21" s="19">
        <v>24</v>
      </c>
      <c r="F21" s="20">
        <v>25.36</v>
      </c>
      <c r="G21" s="19">
        <v>1910.58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>
      <c r="A22" s="6" t="s">
        <v>17</v>
      </c>
      <c r="B22" s="19">
        <v>2</v>
      </c>
      <c r="C22" s="20">
        <v>2.1</v>
      </c>
      <c r="D22" s="19">
        <v>186.9</v>
      </c>
      <c r="E22" s="19">
        <v>27</v>
      </c>
      <c r="F22" s="20">
        <v>28.11</v>
      </c>
      <c r="G22" s="19">
        <v>2302.66</v>
      </c>
      <c r="H22" s="19">
        <f>D22+G22</f>
      </c>
      <c r="I22" s="19">
        <v>0</v>
      </c>
      <c r="J22" s="20">
        <v>0</v>
      </c>
      <c r="K22" s="19">
        <v>0</v>
      </c>
      <c r="L22" s="19">
        <v>0</v>
      </c>
      <c r="M22" s="20">
        <v>0</v>
      </c>
      <c r="N22" s="19">
        <v>0</v>
      </c>
      <c r="O22" s="19">
        <f>K22+N22</f>
      </c>
      <c r="P22" s="19">
        <f>B22+E22+I22+L22</f>
      </c>
      <c r="Q22" s="20">
        <f>C22+F22+J22+M22</f>
      </c>
      <c r="R22" s="19">
        <f>H22+O22</f>
      </c>
      <c r="S22" s="21">
        <f>IF(Q22&gt;0, R22/Q22, 0)</f>
      </c>
    </row>
    <row r="23">
      <c r="A23" s="6" t="s">
        <v>18</v>
      </c>
      <c r="B23" s="19">
        <v>1</v>
      </c>
      <c r="C23" s="20">
        <v>2.03</v>
      </c>
      <c r="D23" s="19">
        <v>182.7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20</v>
      </c>
      <c r="B24" s="19">
        <v>14</v>
      </c>
      <c r="C24" s="20">
        <v>25.41</v>
      </c>
      <c r="D24" s="19">
        <v>2304.05</v>
      </c>
      <c r="E24" s="19">
        <v>0</v>
      </c>
      <c r="F24" s="20">
        <v>0</v>
      </c>
      <c r="G24" s="19">
        <v>0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>
      <c r="A25" s="6" t="s">
        <v>21</v>
      </c>
      <c r="B25" s="19">
        <v>0</v>
      </c>
      <c r="C25" s="20">
        <v>0</v>
      </c>
      <c r="D25" s="19">
        <v>0</v>
      </c>
      <c r="E25" s="19">
        <v>3</v>
      </c>
      <c r="F25" s="20">
        <v>5.63</v>
      </c>
      <c r="G25" s="19">
        <v>566.9</v>
      </c>
      <c r="H25" s="19">
        <f>D25+G25</f>
      </c>
      <c r="I25" s="19">
        <v>0</v>
      </c>
      <c r="J25" s="20">
        <v>0</v>
      </c>
      <c r="K25" s="19">
        <v>0</v>
      </c>
      <c r="L25" s="19">
        <v>0</v>
      </c>
      <c r="M25" s="20">
        <v>0</v>
      </c>
      <c r="N25" s="19">
        <v>0</v>
      </c>
      <c r="O25" s="19">
        <f>K25+N25</f>
      </c>
      <c r="P25" s="19">
        <f>B25+E25+I25+L25</f>
      </c>
      <c r="Q25" s="20">
        <f>C25+F25+J25+M25</f>
      </c>
      <c r="R25" s="19">
        <f>H25+O25</f>
      </c>
      <c r="S25" s="21">
        <f>IF(Q25&gt;0, R25/Q25, 0)</f>
      </c>
    </row>
    <row r="26" s="2" customFormat="1">
      <c r="A26" s="15" t="s">
        <v>24</v>
      </c>
      <c r="B26" s="16">
        <f>SUM(B27:B30)</f>
      </c>
      <c r="C26" s="17">
        <f>SUM(C27:C30)</f>
      </c>
      <c r="D26" s="16">
        <f>SUM(D27:D30)</f>
      </c>
      <c r="E26" s="16">
        <f>SUM(E27:E30)</f>
      </c>
      <c r="F26" s="17">
        <f>SUM(F27:F30)</f>
      </c>
      <c r="G26" s="16">
        <f>SUM(G27:G30)</f>
      </c>
      <c r="H26" s="16">
        <f>SUM(H27:H30)</f>
      </c>
      <c r="I26" s="16">
        <f>SUM(I27:I30)</f>
      </c>
      <c r="J26" s="17">
        <f>SUM(J27:J30)</f>
      </c>
      <c r="K26" s="16">
        <f>SUM(K27:K30)</f>
      </c>
      <c r="L26" s="16">
        <f>SUM(L27:L30)</f>
      </c>
      <c r="M26" s="17">
        <f>SUM(M27:M30)</f>
      </c>
      <c r="N26" s="16">
        <f>SUM(N27:N30)</f>
      </c>
      <c r="O26" s="16">
        <f>SUM(O27:O30)</f>
      </c>
      <c r="P26" s="16">
        <f>SUM(P27:P30)</f>
      </c>
      <c r="Q26" s="17">
        <f>SUM(Q27:Q30)</f>
      </c>
      <c r="R26" s="16">
        <f>SUM(R27:R30)</f>
      </c>
      <c r="S26" s="18">
        <f>IF(Q26&gt;0, R26/Q26, 0)</f>
      </c>
    </row>
    <row r="27">
      <c r="A27" s="6" t="s">
        <v>25</v>
      </c>
      <c r="B27" s="19">
        <v>0</v>
      </c>
      <c r="C27" s="20">
        <v>0</v>
      </c>
      <c r="D27" s="19">
        <v>0</v>
      </c>
      <c r="E27" s="19">
        <v>1</v>
      </c>
      <c r="F27" s="20">
        <v>1.23</v>
      </c>
      <c r="G27" s="19">
        <v>97.17</v>
      </c>
      <c r="H27" s="19">
        <f>D27+G27</f>
      </c>
      <c r="I27" s="19">
        <v>0</v>
      </c>
      <c r="J27" s="20">
        <v>0</v>
      </c>
      <c r="K27" s="19">
        <v>0</v>
      </c>
      <c r="L27" s="19">
        <v>0</v>
      </c>
      <c r="M27" s="20">
        <v>0</v>
      </c>
      <c r="N27" s="19">
        <v>0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>
      <c r="A28" s="6" t="s">
        <v>18</v>
      </c>
      <c r="B28" s="19">
        <v>0</v>
      </c>
      <c r="C28" s="20">
        <v>0</v>
      </c>
      <c r="D28" s="19">
        <v>0</v>
      </c>
      <c r="E28" s="19">
        <v>48</v>
      </c>
      <c r="F28" s="20">
        <v>70.09</v>
      </c>
      <c r="G28" s="19">
        <v>6186.4</v>
      </c>
      <c r="H28" s="19">
        <f>D28+G28</f>
      </c>
      <c r="I28" s="19">
        <v>0</v>
      </c>
      <c r="J28" s="20">
        <v>0</v>
      </c>
      <c r="K28" s="19">
        <v>0</v>
      </c>
      <c r="L28" s="19">
        <v>0</v>
      </c>
      <c r="M28" s="20">
        <v>0</v>
      </c>
      <c r="N28" s="19">
        <v>0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>
      <c r="A29" s="6" t="s">
        <v>19</v>
      </c>
      <c r="B29" s="19">
        <v>0</v>
      </c>
      <c r="C29" s="20">
        <v>0</v>
      </c>
      <c r="D29" s="19">
        <v>0</v>
      </c>
      <c r="E29" s="19">
        <v>106</v>
      </c>
      <c r="F29" s="20">
        <v>115.94</v>
      </c>
      <c r="G29" s="19">
        <v>9440.08</v>
      </c>
      <c r="H29" s="19">
        <f>D29+G29</f>
      </c>
      <c r="I29" s="19">
        <v>0</v>
      </c>
      <c r="J29" s="20">
        <v>0</v>
      </c>
      <c r="K29" s="19">
        <v>0</v>
      </c>
      <c r="L29" s="19">
        <v>0</v>
      </c>
      <c r="M29" s="20">
        <v>0</v>
      </c>
      <c r="N29" s="19">
        <v>0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20</v>
      </c>
      <c r="B30" s="19">
        <v>24</v>
      </c>
      <c r="C30" s="20">
        <v>24.79</v>
      </c>
      <c r="D30" s="19">
        <v>2165.55</v>
      </c>
      <c r="E30" s="19">
        <v>0</v>
      </c>
      <c r="F30" s="20">
        <v>0</v>
      </c>
      <c r="G30" s="19">
        <v>0</v>
      </c>
      <c r="H30" s="19">
        <f>D30+G30</f>
      </c>
      <c r="I30" s="19">
        <v>0</v>
      </c>
      <c r="J30" s="20">
        <v>0</v>
      </c>
      <c r="K30" s="19">
        <v>0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26</v>
      </c>
      <c r="B31" s="16">
        <f>SUM(B32:B33)</f>
      </c>
      <c r="C31" s="17">
        <f>SUM(C32:C33)</f>
      </c>
      <c r="D31" s="16">
        <f>SUM(D32:D33)</f>
      </c>
      <c r="E31" s="16">
        <f>SUM(E32:E33)</f>
      </c>
      <c r="F31" s="17">
        <f>SUM(F32:F33)</f>
      </c>
      <c r="G31" s="16">
        <f>SUM(G32:G33)</f>
      </c>
      <c r="H31" s="16">
        <f>SUM(H32:H33)</f>
      </c>
      <c r="I31" s="16">
        <f>SUM(I32:I33)</f>
      </c>
      <c r="J31" s="17">
        <f>SUM(J32:J33)</f>
      </c>
      <c r="K31" s="16">
        <f>SUM(K32:K33)</f>
      </c>
      <c r="L31" s="16">
        <f>SUM(L32:L33)</f>
      </c>
      <c r="M31" s="17">
        <f>SUM(M32:M33)</f>
      </c>
      <c r="N31" s="16">
        <f>SUM(N32:N33)</f>
      </c>
      <c r="O31" s="16">
        <f>SUM(O32:O33)</f>
      </c>
      <c r="P31" s="16">
        <f>SUM(P32:P33)</f>
      </c>
      <c r="Q31" s="17">
        <f>SUM(Q32:Q33)</f>
      </c>
      <c r="R31" s="16">
        <f>SUM(R32:R33)</f>
      </c>
      <c r="S31" s="18">
        <f>IF(Q31&gt;0, R31/Q31, 0)</f>
      </c>
    </row>
    <row r="32">
      <c r="A32" s="6" t="s">
        <v>27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0</v>
      </c>
      <c r="J32" s="20">
        <v>0</v>
      </c>
      <c r="K32" s="19">
        <v>0</v>
      </c>
      <c r="L32" s="19">
        <v>88</v>
      </c>
      <c r="M32" s="20">
        <v>170.3</v>
      </c>
      <c r="N32" s="19">
        <v>18983.56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15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2</v>
      </c>
      <c r="J33" s="20">
        <v>3.08</v>
      </c>
      <c r="K33" s="19">
        <v>304.92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 s="2" customFormat="1">
      <c r="A34" s="15" t="s">
        <v>28</v>
      </c>
      <c r="B34" s="16">
        <f>SUM(B35:B36)</f>
      </c>
      <c r="C34" s="17">
        <f>SUM(C35:C36)</f>
      </c>
      <c r="D34" s="16">
        <f>SUM(D35:D36)</f>
      </c>
      <c r="E34" s="16">
        <f>SUM(E35:E36)</f>
      </c>
      <c r="F34" s="17">
        <f>SUM(F35:F36)</f>
      </c>
      <c r="G34" s="16">
        <f>SUM(G35:G36)</f>
      </c>
      <c r="H34" s="16">
        <f>SUM(H35:H36)</f>
      </c>
      <c r="I34" s="16">
        <f>SUM(I35:I36)</f>
      </c>
      <c r="J34" s="17">
        <f>SUM(J35:J36)</f>
      </c>
      <c r="K34" s="16">
        <f>SUM(K35:K36)</f>
      </c>
      <c r="L34" s="16">
        <f>SUM(L35:L36)</f>
      </c>
      <c r="M34" s="17">
        <f>SUM(M35:M36)</f>
      </c>
      <c r="N34" s="16">
        <f>SUM(N35:N36)</f>
      </c>
      <c r="O34" s="16">
        <f>SUM(O35:O36)</f>
      </c>
      <c r="P34" s="16">
        <f>SUM(P35:P36)</f>
      </c>
      <c r="Q34" s="17">
        <f>SUM(Q35:Q36)</f>
      </c>
      <c r="R34" s="16">
        <f>SUM(R35:R36)</f>
      </c>
      <c r="S34" s="18">
        <f>IF(Q34&gt;0, R34/Q34, 0)</f>
      </c>
    </row>
    <row r="35">
      <c r="A35" s="6" t="s">
        <v>16</v>
      </c>
      <c r="B35" s="19">
        <v>0</v>
      </c>
      <c r="C35" s="20">
        <v>0</v>
      </c>
      <c r="D35" s="19">
        <v>0</v>
      </c>
      <c r="E35" s="19">
        <v>1</v>
      </c>
      <c r="F35" s="20">
        <v>1.24</v>
      </c>
      <c r="G35" s="19">
        <v>102.92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17</v>
      </c>
      <c r="B36" s="19">
        <v>0</v>
      </c>
      <c r="C36" s="20">
        <v>0</v>
      </c>
      <c r="D36" s="19">
        <v>0</v>
      </c>
      <c r="E36" s="19">
        <v>1</v>
      </c>
      <c r="F36" s="20">
        <v>1.03</v>
      </c>
      <c r="G36" s="19">
        <v>67.98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 s="2" customFormat="1">
      <c r="A37" s="15" t="s">
        <v>29</v>
      </c>
      <c r="B37" s="16">
        <f>SUM(B38:B39)</f>
      </c>
      <c r="C37" s="17">
        <f>SUM(C38:C39)</f>
      </c>
      <c r="D37" s="16">
        <f>SUM(D38:D39)</f>
      </c>
      <c r="E37" s="16">
        <f>SUM(E38:E39)</f>
      </c>
      <c r="F37" s="17">
        <f>SUM(F38:F39)</f>
      </c>
      <c r="G37" s="16">
        <f>SUM(G38:G39)</f>
      </c>
      <c r="H37" s="16">
        <f>SUM(H38:H39)</f>
      </c>
      <c r="I37" s="16">
        <f>SUM(I38:I39)</f>
      </c>
      <c r="J37" s="17">
        <f>SUM(J38:J39)</f>
      </c>
      <c r="K37" s="16">
        <f>SUM(K38:K39)</f>
      </c>
      <c r="L37" s="16">
        <f>SUM(L38:L39)</f>
      </c>
      <c r="M37" s="17">
        <f>SUM(M38:M39)</f>
      </c>
      <c r="N37" s="16">
        <f>SUM(N38:N39)</f>
      </c>
      <c r="O37" s="16">
        <f>SUM(O38:O39)</f>
      </c>
      <c r="P37" s="16">
        <f>SUM(P38:P39)</f>
      </c>
      <c r="Q37" s="17">
        <f>SUM(Q38:Q39)</f>
      </c>
      <c r="R37" s="16">
        <f>SUM(R38:R39)</f>
      </c>
      <c r="S37" s="18">
        <f>IF(Q37&gt;0, R37/Q37, 0)</f>
      </c>
    </row>
    <row r="38">
      <c r="A38" s="6" t="s">
        <v>30</v>
      </c>
      <c r="B38" s="19">
        <v>0</v>
      </c>
      <c r="C38" s="20">
        <v>0</v>
      </c>
      <c r="D38" s="19">
        <v>0</v>
      </c>
      <c r="E38" s="19">
        <v>0</v>
      </c>
      <c r="F38" s="20">
        <v>0</v>
      </c>
      <c r="G38" s="19">
        <v>0</v>
      </c>
      <c r="H38" s="19">
        <f>D38+G38</f>
      </c>
      <c r="I38" s="19">
        <v>0</v>
      </c>
      <c r="J38" s="20">
        <v>0</v>
      </c>
      <c r="K38" s="19">
        <v>0</v>
      </c>
      <c r="L38" s="19">
        <v>970</v>
      </c>
      <c r="M38" s="20">
        <v>1258.72</v>
      </c>
      <c r="N38" s="19">
        <v>142489.52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27</v>
      </c>
      <c r="B39" s="19">
        <v>0</v>
      </c>
      <c r="C39" s="20">
        <v>0</v>
      </c>
      <c r="D39" s="19">
        <v>0</v>
      </c>
      <c r="E39" s="19">
        <v>0</v>
      </c>
      <c r="F39" s="20">
        <v>0</v>
      </c>
      <c r="G39" s="19">
        <v>0</v>
      </c>
      <c r="H39" s="19">
        <f>D39+G39</f>
      </c>
      <c r="I39" s="19">
        <v>0</v>
      </c>
      <c r="J39" s="20">
        <v>0</v>
      </c>
      <c r="K39" s="19">
        <v>0</v>
      </c>
      <c r="L39" s="19">
        <v>6</v>
      </c>
      <c r="M39" s="20">
        <v>10.5</v>
      </c>
      <c r="N39" s="19">
        <v>1472.36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 s="2" customFormat="1">
      <c r="A40" s="15" t="s">
        <v>31</v>
      </c>
      <c r="B40" s="16">
        <f>SUM(B41:B43)</f>
      </c>
      <c r="C40" s="17">
        <f>SUM(C41:C43)</f>
      </c>
      <c r="D40" s="16">
        <f>SUM(D41:D43)</f>
      </c>
      <c r="E40" s="16">
        <f>SUM(E41:E43)</f>
      </c>
      <c r="F40" s="17">
        <f>SUM(F41:F43)</f>
      </c>
      <c r="G40" s="16">
        <f>SUM(G41:G43)</f>
      </c>
      <c r="H40" s="16">
        <f>SUM(H41:H43)</f>
      </c>
      <c r="I40" s="16">
        <f>SUM(I41:I43)</f>
      </c>
      <c r="J40" s="17">
        <f>SUM(J41:J43)</f>
      </c>
      <c r="K40" s="16">
        <f>SUM(K41:K43)</f>
      </c>
      <c r="L40" s="16">
        <f>SUM(L41:L43)</f>
      </c>
      <c r="M40" s="17">
        <f>SUM(M41:M43)</f>
      </c>
      <c r="N40" s="16">
        <f>SUM(N41:N43)</f>
      </c>
      <c r="O40" s="16">
        <f>SUM(O41:O43)</f>
      </c>
      <c r="P40" s="16">
        <f>SUM(P41:P43)</f>
      </c>
      <c r="Q40" s="17">
        <f>SUM(Q41:Q43)</f>
      </c>
      <c r="R40" s="16">
        <f>SUM(R41:R43)</f>
      </c>
      <c r="S40" s="18">
        <f>IF(Q40&gt;0, R40/Q40, 0)</f>
      </c>
    </row>
    <row r="41">
      <c r="A41" s="6" t="s">
        <v>32</v>
      </c>
      <c r="B41" s="19">
        <v>0</v>
      </c>
      <c r="C41" s="20">
        <v>0</v>
      </c>
      <c r="D41" s="19">
        <v>0</v>
      </c>
      <c r="E41" s="19">
        <v>0</v>
      </c>
      <c r="F41" s="20">
        <v>0</v>
      </c>
      <c r="G41" s="19">
        <v>0</v>
      </c>
      <c r="H41" s="19">
        <f>D41+G41</f>
      </c>
      <c r="I41" s="19">
        <v>4</v>
      </c>
      <c r="J41" s="20">
        <v>8.1</v>
      </c>
      <c r="K41" s="19">
        <v>972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>
      <c r="A42" s="6" t="s">
        <v>33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2</v>
      </c>
      <c r="J42" s="20">
        <v>3.2</v>
      </c>
      <c r="K42" s="19">
        <v>208</v>
      </c>
      <c r="L42" s="19">
        <v>0</v>
      </c>
      <c r="M42" s="20">
        <v>0</v>
      </c>
      <c r="N42" s="19">
        <v>0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6" t="s">
        <v>34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32</v>
      </c>
      <c r="J43" s="20">
        <v>57</v>
      </c>
      <c r="K43" s="19">
        <v>11113.04</v>
      </c>
      <c r="L43" s="19">
        <v>0</v>
      </c>
      <c r="M43" s="20">
        <v>0</v>
      </c>
      <c r="N43" s="19">
        <v>0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 s="2" customFormat="1">
      <c r="A44" s="15" t="s">
        <v>35</v>
      </c>
      <c r="B44" s="16">
        <f>SUM(B45:B53)</f>
      </c>
      <c r="C44" s="17">
        <f>SUM(C45:C53)</f>
      </c>
      <c r="D44" s="16">
        <f>SUM(D45:D53)</f>
      </c>
      <c r="E44" s="16">
        <f>SUM(E45:E53)</f>
      </c>
      <c r="F44" s="17">
        <f>SUM(F45:F53)</f>
      </c>
      <c r="G44" s="16">
        <f>SUM(G45:G53)</f>
      </c>
      <c r="H44" s="16">
        <f>SUM(H45:H53)</f>
      </c>
      <c r="I44" s="16">
        <f>SUM(I45:I53)</f>
      </c>
      <c r="J44" s="17">
        <f>SUM(J45:J53)</f>
      </c>
      <c r="K44" s="16">
        <f>SUM(K45:K53)</f>
      </c>
      <c r="L44" s="16">
        <f>SUM(L45:L53)</f>
      </c>
      <c r="M44" s="17">
        <f>SUM(M45:M53)</f>
      </c>
      <c r="N44" s="16">
        <f>SUM(N45:N53)</f>
      </c>
      <c r="O44" s="16">
        <f>SUM(O45:O53)</f>
      </c>
      <c r="P44" s="16">
        <f>SUM(P45:P53)</f>
      </c>
      <c r="Q44" s="17">
        <f>SUM(Q45:Q53)</f>
      </c>
      <c r="R44" s="16">
        <f>SUM(R45:R53)</f>
      </c>
      <c r="S44" s="18">
        <f>IF(Q44&gt;0, R44/Q44, 0)</f>
      </c>
    </row>
    <row r="45">
      <c r="A45" s="6" t="s">
        <v>25</v>
      </c>
      <c r="B45" s="19">
        <v>0</v>
      </c>
      <c r="C45" s="20">
        <v>0</v>
      </c>
      <c r="D45" s="19">
        <v>0</v>
      </c>
      <c r="E45" s="19">
        <v>8</v>
      </c>
      <c r="F45" s="20">
        <v>14.8</v>
      </c>
      <c r="G45" s="19">
        <v>1403.58</v>
      </c>
      <c r="H45" s="19">
        <f>D45+G45</f>
      </c>
      <c r="I45" s="19">
        <v>0</v>
      </c>
      <c r="J45" s="20">
        <v>0</v>
      </c>
      <c r="K45" s="19">
        <v>0</v>
      </c>
      <c r="L45" s="19">
        <v>0</v>
      </c>
      <c r="M45" s="20">
        <v>0</v>
      </c>
      <c r="N45" s="19">
        <v>0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14</v>
      </c>
      <c r="B46" s="19">
        <v>0</v>
      </c>
      <c r="C46" s="20">
        <v>0</v>
      </c>
      <c r="D46" s="19">
        <v>0</v>
      </c>
      <c r="E46" s="19">
        <v>6</v>
      </c>
      <c r="F46" s="20">
        <v>8.13</v>
      </c>
      <c r="G46" s="19">
        <v>783.12</v>
      </c>
      <c r="H46" s="19">
        <f>D46+G46</f>
      </c>
      <c r="I46" s="19">
        <v>0</v>
      </c>
      <c r="J46" s="20">
        <v>0</v>
      </c>
      <c r="K46" s="19">
        <v>0</v>
      </c>
      <c r="L46" s="19">
        <v>0</v>
      </c>
      <c r="M46" s="20">
        <v>0</v>
      </c>
      <c r="N46" s="19">
        <v>0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15</v>
      </c>
      <c r="B47" s="19">
        <v>0</v>
      </c>
      <c r="C47" s="20">
        <v>0</v>
      </c>
      <c r="D47" s="19">
        <v>0</v>
      </c>
      <c r="E47" s="19">
        <v>12</v>
      </c>
      <c r="F47" s="20">
        <v>17.98</v>
      </c>
      <c r="G47" s="19">
        <v>1408.1</v>
      </c>
      <c r="H47" s="19">
        <f>D47+G47</f>
      </c>
      <c r="I47" s="19">
        <v>0</v>
      </c>
      <c r="J47" s="20">
        <v>0</v>
      </c>
      <c r="K47" s="19">
        <v>0</v>
      </c>
      <c r="L47" s="19">
        <v>0</v>
      </c>
      <c r="M47" s="20">
        <v>0</v>
      </c>
      <c r="N47" s="19">
        <v>0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16</v>
      </c>
      <c r="B48" s="19">
        <v>0</v>
      </c>
      <c r="C48" s="20">
        <v>0</v>
      </c>
      <c r="D48" s="19">
        <v>0</v>
      </c>
      <c r="E48" s="19">
        <v>14</v>
      </c>
      <c r="F48" s="20">
        <v>27.3</v>
      </c>
      <c r="G48" s="19">
        <v>2570.53</v>
      </c>
      <c r="H48" s="19">
        <f>D48+G48</f>
      </c>
      <c r="I48" s="19">
        <v>0</v>
      </c>
      <c r="J48" s="20">
        <v>0</v>
      </c>
      <c r="K48" s="19">
        <v>0</v>
      </c>
      <c r="L48" s="19">
        <v>0</v>
      </c>
      <c r="M48" s="20">
        <v>0</v>
      </c>
      <c r="N48" s="19">
        <v>0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17</v>
      </c>
      <c r="B49" s="19">
        <v>1</v>
      </c>
      <c r="C49" s="20">
        <v>1.51</v>
      </c>
      <c r="D49" s="19">
        <v>117.78</v>
      </c>
      <c r="E49" s="19">
        <v>39</v>
      </c>
      <c r="F49" s="20">
        <v>49.59</v>
      </c>
      <c r="G49" s="19">
        <v>4203.03</v>
      </c>
      <c r="H49" s="19">
        <f>D49+G49</f>
      </c>
      <c r="I49" s="19">
        <v>0</v>
      </c>
      <c r="J49" s="20">
        <v>0</v>
      </c>
      <c r="K49" s="19">
        <v>0</v>
      </c>
      <c r="L49" s="19">
        <v>0</v>
      </c>
      <c r="M49" s="20">
        <v>0</v>
      </c>
      <c r="N49" s="19">
        <v>0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18</v>
      </c>
      <c r="B50" s="19">
        <v>3</v>
      </c>
      <c r="C50" s="20">
        <v>9.02</v>
      </c>
      <c r="D50" s="19">
        <v>981.86</v>
      </c>
      <c r="E50" s="19">
        <v>12</v>
      </c>
      <c r="F50" s="20">
        <v>16.27</v>
      </c>
      <c r="G50" s="19">
        <v>1405.02</v>
      </c>
      <c r="H50" s="19">
        <f>D50+G50</f>
      </c>
      <c r="I50" s="19">
        <v>0</v>
      </c>
      <c r="J50" s="20">
        <v>0</v>
      </c>
      <c r="K50" s="19">
        <v>0</v>
      </c>
      <c r="L50" s="19">
        <v>0</v>
      </c>
      <c r="M50" s="20">
        <v>0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19</v>
      </c>
      <c r="B51" s="19">
        <v>0</v>
      </c>
      <c r="C51" s="20">
        <v>0</v>
      </c>
      <c r="D51" s="19">
        <v>0</v>
      </c>
      <c r="E51" s="19">
        <v>2</v>
      </c>
      <c r="F51" s="20">
        <v>2.4</v>
      </c>
      <c r="G51" s="19">
        <v>198</v>
      </c>
      <c r="H51" s="19">
        <f>D51+G51</f>
      </c>
      <c r="I51" s="19">
        <v>0</v>
      </c>
      <c r="J51" s="20">
        <v>0</v>
      </c>
      <c r="K51" s="19">
        <v>0</v>
      </c>
      <c r="L51" s="19">
        <v>0</v>
      </c>
      <c r="M51" s="20">
        <v>0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20</v>
      </c>
      <c r="B52" s="19">
        <v>0</v>
      </c>
      <c r="C52" s="20">
        <v>0</v>
      </c>
      <c r="D52" s="19">
        <v>0</v>
      </c>
      <c r="E52" s="19">
        <v>6</v>
      </c>
      <c r="F52" s="20">
        <v>7.38</v>
      </c>
      <c r="G52" s="19">
        <v>565.32</v>
      </c>
      <c r="H52" s="19">
        <f>D52+G52</f>
      </c>
      <c r="I52" s="19">
        <v>0</v>
      </c>
      <c r="J52" s="20">
        <v>0</v>
      </c>
      <c r="K52" s="19">
        <v>0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21</v>
      </c>
      <c r="B53" s="19">
        <v>3</v>
      </c>
      <c r="C53" s="20">
        <v>4.5</v>
      </c>
      <c r="D53" s="19">
        <v>509.5</v>
      </c>
      <c r="E53" s="19">
        <v>7</v>
      </c>
      <c r="F53" s="20">
        <v>10.2</v>
      </c>
      <c r="G53" s="19">
        <v>780.1</v>
      </c>
      <c r="H53" s="19">
        <f>D53+G53</f>
      </c>
      <c r="I53" s="19">
        <v>0</v>
      </c>
      <c r="J53" s="20">
        <v>0</v>
      </c>
      <c r="K53" s="19">
        <v>0</v>
      </c>
      <c r="L53" s="19">
        <v>0</v>
      </c>
      <c r="M53" s="20">
        <v>0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 s="2" customFormat="1">
      <c r="A54" s="15" t="s">
        <v>36</v>
      </c>
      <c r="B54" s="16">
        <f>SUM(B55:B56)</f>
      </c>
      <c r="C54" s="17">
        <f>SUM(C55:C56)</f>
      </c>
      <c r="D54" s="16">
        <f>SUM(D55:D56)</f>
      </c>
      <c r="E54" s="16">
        <f>SUM(E55:E56)</f>
      </c>
      <c r="F54" s="17">
        <f>SUM(F55:F56)</f>
      </c>
      <c r="G54" s="16">
        <f>SUM(G55:G56)</f>
      </c>
      <c r="H54" s="16">
        <f>SUM(H55:H56)</f>
      </c>
      <c r="I54" s="16">
        <f>SUM(I55:I56)</f>
      </c>
      <c r="J54" s="17">
        <f>SUM(J55:J56)</f>
      </c>
      <c r="K54" s="16">
        <f>SUM(K55:K56)</f>
      </c>
      <c r="L54" s="16">
        <f>SUM(L55:L56)</f>
      </c>
      <c r="M54" s="17">
        <f>SUM(M55:M56)</f>
      </c>
      <c r="N54" s="16">
        <f>SUM(N55:N56)</f>
      </c>
      <c r="O54" s="16">
        <f>SUM(O55:O56)</f>
      </c>
      <c r="P54" s="16">
        <f>SUM(P55:P56)</f>
      </c>
      <c r="Q54" s="17">
        <f>SUM(Q55:Q56)</f>
      </c>
      <c r="R54" s="16">
        <f>SUM(R55:R56)</f>
      </c>
      <c r="S54" s="18">
        <f>IF(Q54&gt;0, R54/Q54, 0)</f>
      </c>
    </row>
    <row r="55">
      <c r="A55" s="6" t="s">
        <v>37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0</v>
      </c>
      <c r="J55" s="20">
        <v>0</v>
      </c>
      <c r="K55" s="19">
        <v>0</v>
      </c>
      <c r="L55" s="19">
        <v>2</v>
      </c>
      <c r="M55" s="20">
        <v>10.04</v>
      </c>
      <c r="N55" s="19">
        <v>1807.2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38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2</v>
      </c>
      <c r="J56" s="20">
        <v>3</v>
      </c>
      <c r="K56" s="19">
        <v>327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 s="2" customFormat="1">
      <c r="A57" s="15" t="s">
        <v>39</v>
      </c>
      <c r="B57" s="16">
        <f>SUM(B58:B70)</f>
      </c>
      <c r="C57" s="17">
        <f>SUM(C58:C70)</f>
      </c>
      <c r="D57" s="16">
        <f>SUM(D58:D70)</f>
      </c>
      <c r="E57" s="16">
        <f>SUM(E58:E70)</f>
      </c>
      <c r="F57" s="17">
        <f>SUM(F58:F70)</f>
      </c>
      <c r="G57" s="16">
        <f>SUM(G58:G70)</f>
      </c>
      <c r="H57" s="16">
        <f>SUM(H58:H70)</f>
      </c>
      <c r="I57" s="16">
        <f>SUM(I58:I70)</f>
      </c>
      <c r="J57" s="17">
        <f>SUM(J58:J70)</f>
      </c>
      <c r="K57" s="16">
        <f>SUM(K58:K70)</f>
      </c>
      <c r="L57" s="16">
        <f>SUM(L58:L70)</f>
      </c>
      <c r="M57" s="17">
        <f>SUM(M58:M70)</f>
      </c>
      <c r="N57" s="16">
        <f>SUM(N58:N70)</f>
      </c>
      <c r="O57" s="16">
        <f>SUM(O58:O70)</f>
      </c>
      <c r="P57" s="16">
        <f>SUM(P58:P70)</f>
      </c>
      <c r="Q57" s="17">
        <f>SUM(Q58:Q70)</f>
      </c>
      <c r="R57" s="16">
        <f>SUM(R58:R70)</f>
      </c>
      <c r="S57" s="18">
        <f>IF(Q57&gt;0, R57/Q57, 0)</f>
      </c>
    </row>
    <row r="58">
      <c r="A58" s="6" t="s">
        <v>30</v>
      </c>
      <c r="B58" s="19">
        <v>0</v>
      </c>
      <c r="C58" s="20">
        <v>0</v>
      </c>
      <c r="D58" s="19">
        <v>0</v>
      </c>
      <c r="E58" s="19">
        <v>0</v>
      </c>
      <c r="F58" s="20">
        <v>0</v>
      </c>
      <c r="G58" s="19">
        <v>0</v>
      </c>
      <c r="H58" s="19">
        <f>D58+G58</f>
      </c>
      <c r="I58" s="19">
        <v>0</v>
      </c>
      <c r="J58" s="20">
        <v>0</v>
      </c>
      <c r="K58" s="19">
        <v>0</v>
      </c>
      <c r="L58" s="19">
        <v>78</v>
      </c>
      <c r="M58" s="20">
        <v>350.52</v>
      </c>
      <c r="N58" s="19">
        <v>43159.74</v>
      </c>
      <c r="O58" s="19">
        <f>K58+N58</f>
      </c>
      <c r="P58" s="19">
        <f>B58+E58+I58+L58</f>
      </c>
      <c r="Q58" s="20">
        <f>C58+F58+J58+M58</f>
      </c>
      <c r="R58" s="19">
        <f>H58+O58</f>
      </c>
      <c r="S58" s="21">
        <f>IF(Q58&gt;0, R58/Q58, 0)</f>
      </c>
    </row>
    <row r="59">
      <c r="A59" s="6" t="s">
        <v>27</v>
      </c>
      <c r="B59" s="19">
        <v>0</v>
      </c>
      <c r="C59" s="20">
        <v>0</v>
      </c>
      <c r="D59" s="19">
        <v>0</v>
      </c>
      <c r="E59" s="19">
        <v>0</v>
      </c>
      <c r="F59" s="20">
        <v>0</v>
      </c>
      <c r="G59" s="19">
        <v>0</v>
      </c>
      <c r="H59" s="19">
        <f>D59+G59</f>
      </c>
      <c r="I59" s="19">
        <v>8</v>
      </c>
      <c r="J59" s="20">
        <v>9.62</v>
      </c>
      <c r="K59" s="19">
        <v>1055.7</v>
      </c>
      <c r="L59" s="19">
        <v>14</v>
      </c>
      <c r="M59" s="20">
        <v>36.64</v>
      </c>
      <c r="N59" s="19">
        <v>4090.8</v>
      </c>
      <c r="O59" s="19">
        <f>K59+N59</f>
      </c>
      <c r="P59" s="19">
        <f>B59+E59+I59+L59</f>
      </c>
      <c r="Q59" s="20">
        <f>C59+F59+J59+M59</f>
      </c>
      <c r="R59" s="19">
        <f>H59+O59</f>
      </c>
      <c r="S59" s="21">
        <f>IF(Q59&gt;0, R59/Q59, 0)</f>
      </c>
    </row>
    <row r="60">
      <c r="A60" s="6" t="s">
        <v>40</v>
      </c>
      <c r="B60" s="19">
        <v>0</v>
      </c>
      <c r="C60" s="20">
        <v>0</v>
      </c>
      <c r="D60" s="19">
        <v>0</v>
      </c>
      <c r="E60" s="19">
        <v>0</v>
      </c>
      <c r="F60" s="20">
        <v>0</v>
      </c>
      <c r="G60" s="19">
        <v>0</v>
      </c>
      <c r="H60" s="19">
        <f>D60+G60</f>
      </c>
      <c r="I60" s="19">
        <v>0</v>
      </c>
      <c r="J60" s="20">
        <v>0</v>
      </c>
      <c r="K60" s="19">
        <v>0</v>
      </c>
      <c r="L60" s="19">
        <v>2</v>
      </c>
      <c r="M60" s="20">
        <v>8.1</v>
      </c>
      <c r="N60" s="19">
        <v>729</v>
      </c>
      <c r="O60" s="19">
        <f>K60+N60</f>
      </c>
      <c r="P60" s="19">
        <f>B60+E60+I60+L60</f>
      </c>
      <c r="Q60" s="20">
        <f>C60+F60+J60+M60</f>
      </c>
      <c r="R60" s="19">
        <f>H60+O60</f>
      </c>
      <c r="S60" s="21">
        <f>IF(Q60&gt;0, R60/Q60, 0)</f>
      </c>
    </row>
    <row r="61">
      <c r="A61" s="6" t="s">
        <v>41</v>
      </c>
      <c r="B61" s="19">
        <v>0</v>
      </c>
      <c r="C61" s="20">
        <v>0</v>
      </c>
      <c r="D61" s="19">
        <v>0</v>
      </c>
      <c r="E61" s="19">
        <v>0</v>
      </c>
      <c r="F61" s="20">
        <v>0</v>
      </c>
      <c r="G61" s="19">
        <v>0</v>
      </c>
      <c r="H61" s="19">
        <f>D61+G61</f>
      </c>
      <c r="I61" s="19">
        <v>0</v>
      </c>
      <c r="J61" s="20">
        <v>0</v>
      </c>
      <c r="K61" s="19">
        <v>0</v>
      </c>
      <c r="L61" s="19">
        <v>2</v>
      </c>
      <c r="M61" s="20">
        <v>4.14</v>
      </c>
      <c r="N61" s="19">
        <v>405.72</v>
      </c>
      <c r="O61" s="19">
        <f>K61+N61</f>
      </c>
      <c r="P61" s="19">
        <f>B61+E61+I61+L61</f>
      </c>
      <c r="Q61" s="20">
        <f>C61+F61+J61+M61</f>
      </c>
      <c r="R61" s="19">
        <f>H61+O61</f>
      </c>
      <c r="S61" s="21">
        <f>IF(Q61&gt;0, R61/Q61, 0)</f>
      </c>
    </row>
    <row r="62">
      <c r="A62" s="6" t="s">
        <v>42</v>
      </c>
      <c r="B62" s="19">
        <v>0</v>
      </c>
      <c r="C62" s="20">
        <v>0</v>
      </c>
      <c r="D62" s="19">
        <v>0</v>
      </c>
      <c r="E62" s="19">
        <v>0</v>
      </c>
      <c r="F62" s="20">
        <v>0</v>
      </c>
      <c r="G62" s="19">
        <v>0</v>
      </c>
      <c r="H62" s="19">
        <f>D62+G62</f>
      </c>
      <c r="I62" s="19">
        <v>0</v>
      </c>
      <c r="J62" s="20">
        <v>0</v>
      </c>
      <c r="K62" s="19">
        <v>0</v>
      </c>
      <c r="L62" s="19">
        <v>2</v>
      </c>
      <c r="M62" s="20">
        <v>4.08</v>
      </c>
      <c r="N62" s="19">
        <v>444.28</v>
      </c>
      <c r="O62" s="19">
        <f>K62+N62</f>
      </c>
      <c r="P62" s="19">
        <f>B62+E62+I62+L62</f>
      </c>
      <c r="Q62" s="20">
        <f>C62+F62+J62+M62</f>
      </c>
      <c r="R62" s="19">
        <f>H62+O62</f>
      </c>
      <c r="S62" s="21">
        <f>IF(Q62&gt;0, R62/Q62, 0)</f>
      </c>
    </row>
    <row r="63">
      <c r="A63" s="6" t="s">
        <v>43</v>
      </c>
      <c r="B63" s="19">
        <v>0</v>
      </c>
      <c r="C63" s="20">
        <v>0</v>
      </c>
      <c r="D63" s="19">
        <v>0</v>
      </c>
      <c r="E63" s="19">
        <v>0</v>
      </c>
      <c r="F63" s="20">
        <v>0</v>
      </c>
      <c r="G63" s="19">
        <v>0</v>
      </c>
      <c r="H63" s="19">
        <f>D63+G63</f>
      </c>
      <c r="I63" s="19">
        <v>0</v>
      </c>
      <c r="J63" s="20">
        <v>0</v>
      </c>
      <c r="K63" s="19">
        <v>0</v>
      </c>
      <c r="L63" s="19">
        <v>2</v>
      </c>
      <c r="M63" s="20">
        <v>3.2</v>
      </c>
      <c r="N63" s="19">
        <v>0</v>
      </c>
      <c r="O63" s="19">
        <f>K63+N63</f>
      </c>
      <c r="P63" s="19">
        <f>B63+E63+I63+L63</f>
      </c>
      <c r="Q63" s="20">
        <f>C63+F63+J63+M63</f>
      </c>
      <c r="R63" s="19">
        <f>H63+O63</f>
      </c>
      <c r="S63" s="21">
        <f>IF(Q63&gt;0, R63/Q63, 0)</f>
      </c>
    </row>
    <row r="64">
      <c r="A64" s="6" t="s">
        <v>44</v>
      </c>
      <c r="B64" s="19">
        <v>0</v>
      </c>
      <c r="C64" s="20">
        <v>0</v>
      </c>
      <c r="D64" s="19">
        <v>0</v>
      </c>
      <c r="E64" s="19">
        <v>0</v>
      </c>
      <c r="F64" s="20">
        <v>0</v>
      </c>
      <c r="G64" s="19">
        <v>0</v>
      </c>
      <c r="H64" s="19">
        <f>D64+G64</f>
      </c>
      <c r="I64" s="19">
        <v>0</v>
      </c>
      <c r="J64" s="20">
        <v>0</v>
      </c>
      <c r="K64" s="19">
        <v>0</v>
      </c>
      <c r="L64" s="19">
        <v>2</v>
      </c>
      <c r="M64" s="20">
        <v>2.16</v>
      </c>
      <c r="N64" s="19">
        <v>0</v>
      </c>
      <c r="O64" s="19">
        <f>K64+N64</f>
      </c>
      <c r="P64" s="19">
        <f>B64+E64+I64+L64</f>
      </c>
      <c r="Q64" s="20">
        <f>C64+F64+J64+M64</f>
      </c>
      <c r="R64" s="19">
        <f>H64+O64</f>
      </c>
      <c r="S64" s="21">
        <f>IF(Q64&gt;0, R64/Q64, 0)</f>
      </c>
    </row>
    <row r="65">
      <c r="A65" s="6" t="s">
        <v>45</v>
      </c>
      <c r="B65" s="19">
        <v>0</v>
      </c>
      <c r="C65" s="20">
        <v>0</v>
      </c>
      <c r="D65" s="19">
        <v>0</v>
      </c>
      <c r="E65" s="19">
        <v>0</v>
      </c>
      <c r="F65" s="20">
        <v>0</v>
      </c>
      <c r="G65" s="19">
        <v>0</v>
      </c>
      <c r="H65" s="19">
        <f>D65+G65</f>
      </c>
      <c r="I65" s="19">
        <v>0</v>
      </c>
      <c r="J65" s="20">
        <v>0</v>
      </c>
      <c r="K65" s="19">
        <v>0</v>
      </c>
      <c r="L65" s="19">
        <v>8</v>
      </c>
      <c r="M65" s="20">
        <v>17.2</v>
      </c>
      <c r="N65" s="19">
        <v>1755.84</v>
      </c>
      <c r="O65" s="19">
        <f>K65+N65</f>
      </c>
      <c r="P65" s="19">
        <f>B65+E65+I65+L65</f>
      </c>
      <c r="Q65" s="20">
        <f>C65+F65+J65+M65</f>
      </c>
      <c r="R65" s="19">
        <f>H65+O65</f>
      </c>
      <c r="S65" s="21">
        <f>IF(Q65&gt;0, R65/Q65, 0)</f>
      </c>
    </row>
    <row r="66">
      <c r="A66" s="6" t="s">
        <v>46</v>
      </c>
      <c r="B66" s="19">
        <v>0</v>
      </c>
      <c r="C66" s="20">
        <v>0</v>
      </c>
      <c r="D66" s="19">
        <v>0</v>
      </c>
      <c r="E66" s="19">
        <v>0</v>
      </c>
      <c r="F66" s="20">
        <v>0</v>
      </c>
      <c r="G66" s="19">
        <v>0</v>
      </c>
      <c r="H66" s="19">
        <f>D66+G66</f>
      </c>
      <c r="I66" s="19">
        <v>0</v>
      </c>
      <c r="J66" s="20">
        <v>0</v>
      </c>
      <c r="K66" s="19">
        <v>0</v>
      </c>
      <c r="L66" s="19">
        <v>2</v>
      </c>
      <c r="M66" s="20">
        <v>3.06</v>
      </c>
      <c r="N66" s="19">
        <v>0</v>
      </c>
      <c r="O66" s="19">
        <f>K66+N66</f>
      </c>
      <c r="P66" s="19">
        <f>B66+E66+I66+L66</f>
      </c>
      <c r="Q66" s="20">
        <f>C66+F66+J66+M66</f>
      </c>
      <c r="R66" s="19">
        <f>H66+O66</f>
      </c>
      <c r="S66" s="21">
        <f>IF(Q66&gt;0, R66/Q66, 0)</f>
      </c>
    </row>
    <row r="67">
      <c r="A67" s="6" t="s">
        <v>47</v>
      </c>
      <c r="B67" s="19">
        <v>0</v>
      </c>
      <c r="C67" s="20">
        <v>0</v>
      </c>
      <c r="D67" s="19">
        <v>0</v>
      </c>
      <c r="E67" s="19">
        <v>0</v>
      </c>
      <c r="F67" s="20">
        <v>0</v>
      </c>
      <c r="G67" s="19">
        <v>0</v>
      </c>
      <c r="H67" s="19">
        <f>D67+G67</f>
      </c>
      <c r="I67" s="19">
        <v>194</v>
      </c>
      <c r="J67" s="20">
        <v>272.24</v>
      </c>
      <c r="K67" s="19">
        <v>27991.02</v>
      </c>
      <c r="L67" s="19">
        <v>0</v>
      </c>
      <c r="M67" s="20">
        <v>0</v>
      </c>
      <c r="N67" s="19">
        <v>0</v>
      </c>
      <c r="O67" s="19">
        <f>K67+N67</f>
      </c>
      <c r="P67" s="19">
        <f>B67+E67+I67+L67</f>
      </c>
      <c r="Q67" s="20">
        <f>C67+F67+J67+M67</f>
      </c>
      <c r="R67" s="19">
        <f>H67+O67</f>
      </c>
      <c r="S67" s="21">
        <f>IF(Q67&gt;0, R67/Q67, 0)</f>
      </c>
    </row>
    <row r="68">
      <c r="A68" s="6" t="s">
        <v>48</v>
      </c>
      <c r="B68" s="19">
        <v>0</v>
      </c>
      <c r="C68" s="20">
        <v>0</v>
      </c>
      <c r="D68" s="19">
        <v>0</v>
      </c>
      <c r="E68" s="19">
        <v>0</v>
      </c>
      <c r="F68" s="20">
        <v>0</v>
      </c>
      <c r="G68" s="19">
        <v>0</v>
      </c>
      <c r="H68" s="19">
        <f>D68+G68</f>
      </c>
      <c r="I68" s="19">
        <v>738</v>
      </c>
      <c r="J68" s="20">
        <v>1115.4</v>
      </c>
      <c r="K68" s="19">
        <v>109863.32</v>
      </c>
      <c r="L68" s="19">
        <v>0</v>
      </c>
      <c r="M68" s="20">
        <v>0</v>
      </c>
      <c r="N68" s="19">
        <v>0</v>
      </c>
      <c r="O68" s="19">
        <f>K68+N68</f>
      </c>
      <c r="P68" s="19">
        <f>B68+E68+I68+L68</f>
      </c>
      <c r="Q68" s="20">
        <f>C68+F68+J68+M68</f>
      </c>
      <c r="R68" s="19">
        <f>H68+O68</f>
      </c>
      <c r="S68" s="21">
        <f>IF(Q68&gt;0, R68/Q68, 0)</f>
      </c>
    </row>
    <row r="69">
      <c r="A69" s="6" t="s">
        <v>15</v>
      </c>
      <c r="B69" s="19">
        <v>0</v>
      </c>
      <c r="C69" s="20">
        <v>0</v>
      </c>
      <c r="D69" s="19">
        <v>0</v>
      </c>
      <c r="E69" s="19">
        <v>0</v>
      </c>
      <c r="F69" s="20">
        <v>0</v>
      </c>
      <c r="G69" s="19">
        <v>0</v>
      </c>
      <c r="H69" s="19">
        <f>D69+G69</f>
      </c>
      <c r="I69" s="19">
        <v>2</v>
      </c>
      <c r="J69" s="20">
        <v>3.68</v>
      </c>
      <c r="K69" s="19">
        <v>290.72</v>
      </c>
      <c r="L69" s="19">
        <v>0</v>
      </c>
      <c r="M69" s="20">
        <v>0</v>
      </c>
      <c r="N69" s="19">
        <v>0</v>
      </c>
      <c r="O69" s="19">
        <f>K69+N69</f>
      </c>
      <c r="P69" s="19">
        <f>B69+E69+I69+L69</f>
      </c>
      <c r="Q69" s="20">
        <f>C69+F69+J69+M69</f>
      </c>
      <c r="R69" s="19">
        <f>H69+O69</f>
      </c>
      <c r="S69" s="21">
        <f>IF(Q69&gt;0, R69/Q69, 0)</f>
      </c>
    </row>
    <row r="70">
      <c r="A70" s="6" t="s">
        <v>19</v>
      </c>
      <c r="B70" s="19">
        <v>0</v>
      </c>
      <c r="C70" s="20">
        <v>0</v>
      </c>
      <c r="D70" s="19">
        <v>0</v>
      </c>
      <c r="E70" s="19">
        <v>0</v>
      </c>
      <c r="F70" s="20">
        <v>0</v>
      </c>
      <c r="G70" s="19">
        <v>0</v>
      </c>
      <c r="H70" s="19">
        <f>D70+G70</f>
      </c>
      <c r="I70" s="19">
        <v>0</v>
      </c>
      <c r="J70" s="20">
        <v>0</v>
      </c>
      <c r="K70" s="19">
        <v>0</v>
      </c>
      <c r="L70" s="19">
        <v>8</v>
      </c>
      <c r="M70" s="20">
        <v>12.32</v>
      </c>
      <c r="N70" s="19">
        <v>1204.19</v>
      </c>
      <c r="O70" s="19">
        <f>K70+N70</f>
      </c>
      <c r="P70" s="19">
        <f>B70+E70+I70+L70</f>
      </c>
      <c r="Q70" s="20">
        <f>C70+F70+J70+M70</f>
      </c>
      <c r="R70" s="19">
        <f>H70+O70</f>
      </c>
      <c r="S70" s="21">
        <f>IF(Q70&gt;0, R70/Q70, 0)</f>
      </c>
    </row>
    <row r="71" s="2" customFormat="1">
      <c r="A71" s="15" t="s">
        <v>49</v>
      </c>
      <c r="B71" s="16">
        <f>SUM(B72:B72)</f>
      </c>
      <c r="C71" s="17">
        <f>SUM(C72:C72)</f>
      </c>
      <c r="D71" s="16">
        <f>SUM(D72:D72)</f>
      </c>
      <c r="E71" s="16">
        <f>SUM(E72:E72)</f>
      </c>
      <c r="F71" s="17">
        <f>SUM(F72:F72)</f>
      </c>
      <c r="G71" s="16">
        <f>SUM(G72:G72)</f>
      </c>
      <c r="H71" s="16">
        <f>SUM(H72:H72)</f>
      </c>
      <c r="I71" s="16">
        <f>SUM(I72:I72)</f>
      </c>
      <c r="J71" s="17">
        <f>SUM(J72:J72)</f>
      </c>
      <c r="K71" s="16">
        <f>SUM(K72:K72)</f>
      </c>
      <c r="L71" s="16">
        <f>SUM(L72:L72)</f>
      </c>
      <c r="M71" s="17">
        <f>SUM(M72:M72)</f>
      </c>
      <c r="N71" s="16">
        <f>SUM(N72:N72)</f>
      </c>
      <c r="O71" s="16">
        <f>SUM(O72:O72)</f>
      </c>
      <c r="P71" s="16">
        <f>SUM(P72:P72)</f>
      </c>
      <c r="Q71" s="17">
        <f>SUM(Q72:Q72)</f>
      </c>
      <c r="R71" s="16">
        <f>SUM(R72:R72)</f>
      </c>
      <c r="S71" s="18">
        <f>IF(Q71&gt;0, R71/Q71, 0)</f>
      </c>
    </row>
    <row r="72">
      <c r="A72" s="6" t="s">
        <v>20</v>
      </c>
      <c r="B72" s="19">
        <v>0</v>
      </c>
      <c r="C72" s="20">
        <v>0</v>
      </c>
      <c r="D72" s="19">
        <v>0</v>
      </c>
      <c r="E72" s="19">
        <v>1</v>
      </c>
      <c r="F72" s="20">
        <v>3.04</v>
      </c>
      <c r="G72" s="19">
        <v>264.48</v>
      </c>
      <c r="H72" s="19">
        <f>D72+G72</f>
      </c>
      <c r="I72" s="19">
        <v>0</v>
      </c>
      <c r="J72" s="20">
        <v>0</v>
      </c>
      <c r="K72" s="19">
        <v>0</v>
      </c>
      <c r="L72" s="19">
        <v>0</v>
      </c>
      <c r="M72" s="20">
        <v>0</v>
      </c>
      <c r="N72" s="19">
        <v>0</v>
      </c>
      <c r="O72" s="19">
        <f>K72+N72</f>
      </c>
      <c r="P72" s="19">
        <f>B72+E72+I72+L72</f>
      </c>
      <c r="Q72" s="20">
        <f>C72+F72+J72+M72</f>
      </c>
      <c r="R72" s="19">
        <f>H72+O72</f>
      </c>
      <c r="S72" s="21">
        <f>IF(Q72&gt;0, R72/Q72, 0)</f>
      </c>
    </row>
    <row r="73" s="2" customFormat="1">
      <c r="A73" s="15" t="s">
        <v>50</v>
      </c>
      <c r="B73" s="16">
        <f>SUM(B74:B74)</f>
      </c>
      <c r="C73" s="17">
        <f>SUM(C74:C74)</f>
      </c>
      <c r="D73" s="16">
        <f>SUM(D74:D74)</f>
      </c>
      <c r="E73" s="16">
        <f>SUM(E74:E74)</f>
      </c>
      <c r="F73" s="17">
        <f>SUM(F74:F74)</f>
      </c>
      <c r="G73" s="16">
        <f>SUM(G74:G74)</f>
      </c>
      <c r="H73" s="16">
        <f>SUM(H74:H74)</f>
      </c>
      <c r="I73" s="16">
        <f>SUM(I74:I74)</f>
      </c>
      <c r="J73" s="17">
        <f>SUM(J74:J74)</f>
      </c>
      <c r="K73" s="16">
        <f>SUM(K74:K74)</f>
      </c>
      <c r="L73" s="16">
        <f>SUM(L74:L74)</f>
      </c>
      <c r="M73" s="17">
        <f>SUM(M74:M74)</f>
      </c>
      <c r="N73" s="16">
        <f>SUM(N74:N74)</f>
      </c>
      <c r="O73" s="16">
        <f>SUM(O74:O74)</f>
      </c>
      <c r="P73" s="16">
        <f>SUM(P74:P74)</f>
      </c>
      <c r="Q73" s="17">
        <f>SUM(Q74:Q74)</f>
      </c>
      <c r="R73" s="16">
        <f>SUM(R74:R74)</f>
      </c>
      <c r="S73" s="18">
        <f>IF(Q73&gt;0, R73/Q73, 0)</f>
      </c>
    </row>
    <row r="74">
      <c r="A74" s="6" t="s">
        <v>20</v>
      </c>
      <c r="B74" s="19">
        <v>2</v>
      </c>
      <c r="C74" s="20">
        <v>2.04</v>
      </c>
      <c r="D74" s="19">
        <v>150.96</v>
      </c>
      <c r="E74" s="19">
        <v>0</v>
      </c>
      <c r="F74" s="20">
        <v>0</v>
      </c>
      <c r="G74" s="19">
        <v>0</v>
      </c>
      <c r="H74" s="19">
        <f>D74+G74</f>
      </c>
      <c r="I74" s="19">
        <v>0</v>
      </c>
      <c r="J74" s="20">
        <v>0</v>
      </c>
      <c r="K74" s="19">
        <v>0</v>
      </c>
      <c r="L74" s="19">
        <v>0</v>
      </c>
      <c r="M74" s="20">
        <v>0</v>
      </c>
      <c r="N74" s="19">
        <v>0</v>
      </c>
      <c r="O74" s="19">
        <f>K74+N74</f>
      </c>
      <c r="P74" s="19">
        <f>B74+E74+I74+L74</f>
      </c>
      <c r="Q74" s="20">
        <f>C74+F74+J74+M74</f>
      </c>
      <c r="R74" s="19">
        <f>H74+O74</f>
      </c>
      <c r="S74" s="21">
        <f>IF(Q74&gt;0, R74/Q74, 0)</f>
      </c>
    </row>
    <row r="75" s="2" customFormat="1">
      <c r="A75" s="8" t="s">
        <v>51</v>
      </c>
      <c r="B75" s="22">
        <f>B5+B14+B19+B26+B31+B34+B37+B40+B44+B54+B57+B71+B73</f>
      </c>
      <c r="C75" s="23">
        <f>C5+C14+C19+C26+C31+C34+C37+C40+C44+C54+C57+C71+C73</f>
      </c>
      <c r="D75" s="22">
        <f>D5+D14+D19+D26+D31+D34+D37+D40+D44+D54+D57+D71+D73</f>
      </c>
      <c r="E75" s="22">
        <f>E5+E14+E19+E26+E31+E34+E37+E40+E44+E54+E57+E71+E73</f>
      </c>
      <c r="F75" s="23">
        <f>F5+F14+F19+F26+F31+F34+F37+F40+F44+F54+F57+F71+F73</f>
      </c>
      <c r="G75" s="22">
        <f>G5+G14+G19+G26+G31+G34+G37+G40+G44+G54+G57+G71+G73</f>
      </c>
      <c r="H75" s="22">
        <f>H5+H14+H19+H26+H31+H34+H37+H40+H44+H54+H57+H71+H73</f>
      </c>
      <c r="I75" s="22">
        <f>I5+I14+I19+I26+I31+I34+I37+I40+I44+I54+I57+I71+I73</f>
      </c>
      <c r="J75" s="23">
        <f>J5+J14+J19+J26+J31+J34+J37+J40+J44+J54+J57+J71+J73</f>
      </c>
      <c r="K75" s="22">
        <f>K5+K14+K19+K26+K31+K34+K37+K40+K44+K54+K57+K71+K73</f>
      </c>
      <c r="L75" s="22">
        <f>L5+L14+L19+L26+L31+L34+L37+L40+L44+L54+L57+L71+L73</f>
      </c>
      <c r="M75" s="23">
        <f>M5+M14+M19+M26+M31+M34+M37+M40+M44+M54+M57+M71+M73</f>
      </c>
      <c r="N75" s="22">
        <f>N5+N14+N19+N26+N31+N34+N37+N40+N44+N54+N57+N71+N73</f>
      </c>
      <c r="O75" s="22">
        <f>O5+O14+O19+O26+O31+O34+O37+O40+O44+O54+O57+O71+O73</f>
      </c>
      <c r="P75" s="22">
        <f>P5+P14+P19+P26+P31+P34+P37+P40+P44+P54+P57+P71+P73</f>
      </c>
      <c r="Q75" s="23">
        <f>Q5+Q14+Q19+Q26+Q31+Q34+Q37+Q40+Q44+Q54+Q57+Q71+Q73</f>
      </c>
      <c r="R75" s="22">
        <f>R5+R14+R19+R26+R31+R34+R37+R40+R44+R54+R57+R71+R73</f>
      </c>
      <c r="S75" s="24">
        <f>IF(Q75&gt;0, R75/Q75, 0)</f>
      </c>
    </row>
    <row r="76" s="2" customFormat="1">
      <c r="A76" s="25" t="s">
        <v>52</v>
      </c>
      <c r="B76" s="26">
        <f>IF(P75&gt;0, B75/P75, 0)</f>
      </c>
      <c r="C76" s="17"/>
      <c r="D76" s="16"/>
      <c r="E76" s="26">
        <f>IF(P75&gt;0, E75/P75, 0)</f>
      </c>
      <c r="F76" s="17"/>
      <c r="G76" s="16"/>
      <c r="H76" s="16"/>
      <c r="I76" s="26">
        <f>IF(P75&gt;0, I75/P75, 0)</f>
      </c>
      <c r="J76" s="17"/>
      <c r="K76" s="16"/>
      <c r="L76" s="26">
        <f>IF(P75&gt;0, L75/P75, 0)</f>
      </c>
      <c r="M76" s="17"/>
      <c r="N76" s="16"/>
      <c r="O76" s="16"/>
      <c r="P76" s="26">
        <f>IF(P75&gt;0, P75/P75, 0)</f>
      </c>
      <c r="Q76" s="17"/>
      <c r="R76" s="16"/>
      <c r="S76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U2"/>
  <sheetViews>
    <sheetView workbookViewId="0" showGridLines="1"/>
  </sheetViews>
  <sheetFormatPr defaultRowHeight="15"/>
  <cols>
    <col min="1" max="1" width="9.140625" customWidth="1"/>
    <col min="2" max="2" width="9.140625" customWidth="1"/>
    <col min="3" max="3" width="11.2289762496948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73842144012451" customWidth="1"/>
    <col min="12" max="12" width="9.140625" customWidth="1"/>
    <col min="13" max="13" width="9.140625" customWidth="1"/>
    <col min="14" max="14" width="9.68181800842285" customWidth="1"/>
    <col min="15" max="15" width="11.5954751968384" customWidth="1"/>
    <col min="16" max="16" width="9.140625" customWidth="1"/>
    <col min="17" max="17" width="16.4966926574707" customWidth="1"/>
    <col min="18" max="18" width="9.21915149688721" customWidth="1"/>
    <col min="19" max="19" width="9.140625" customWidth="1"/>
    <col min="20" max="20" width="9.140625" customWidth="1"/>
    <col min="21" max="21" width="9.37076091766357" customWidth="1"/>
    <col min="22" max="22" width="9.140625" customWidth="1"/>
    <col min="23" max="23" width="10.7639646530151" customWidth="1"/>
    <col min="24" max="24" width="12.7436428070068" customWidth="1"/>
    <col min="25" max="25" width="16.7607326507568" customWidth="1"/>
    <col min="26" max="26" width="17.4757347106934" customWidth="1"/>
    <col min="27" max="27" width="11.9088773727417" customWidth="1"/>
    <col min="28" max="28" width="10.975884437561" customWidth="1"/>
    <col min="29" max="29" width="12.5891351699829" customWidth="1"/>
    <col min="30" max="30" width="11.9093475341797" customWidth="1"/>
    <col min="31" max="31" width="11.8076982498169" customWidth="1"/>
    <col min="32" max="32" width="12.9617586135864" customWidth="1"/>
    <col min="33" max="33" width="12.3175382614136" customWidth="1"/>
    <col min="34" max="34" width="9.140625" customWidth="1"/>
    <col min="35" max="35" width="9.140625" customWidth="1"/>
    <col min="36" max="36" width="9.140625" customWidth="1"/>
    <col min="37" max="37" width="13.7364339828491" customWidth="1"/>
    <col min="38" max="38" width="9.140625" customWidth="1"/>
    <col min="39" max="39" width="9.140625" customWidth="1"/>
    <col min="40" max="40" width="10.9748563766479" customWidth="1"/>
    <col min="41" max="41" width="9.140625" customWidth="1"/>
    <col min="42" max="42" width="14.5852975845337" customWidth="1"/>
    <col min="43" max="43" width="9.140625" customWidth="1"/>
    <col min="44" max="44" width="10.8201847076416" customWidth="1"/>
    <col min="45" max="45" width="9.140625" customWidth="1"/>
    <col min="46" max="46" width="9.140625" customWidth="1"/>
    <col min="47" max="47" width="9.140625" customWidth="1"/>
  </cols>
  <sheetData>
    <row r="1">
      <c r="A1" s="29" t="s">
        <v>53</v>
      </c>
      <c r="B1" s="28" t="s">
        <v>54</v>
      </c>
      <c r="C1" s="28" t="s">
        <v>55</v>
      </c>
      <c r="D1" s="28" t="s">
        <v>56</v>
      </c>
      <c r="E1" s="28" t="s">
        <v>12</v>
      </c>
      <c r="F1" s="28" t="s">
        <v>57</v>
      </c>
      <c r="G1" s="28" t="s">
        <v>58</v>
      </c>
      <c r="H1" s="28" t="s">
        <v>59</v>
      </c>
      <c r="I1" s="28" t="s">
        <v>60</v>
      </c>
      <c r="J1" s="28" t="s">
        <v>61</v>
      </c>
      <c r="K1" s="28" t="s">
        <v>62</v>
      </c>
      <c r="L1" s="28" t="s">
        <v>63</v>
      </c>
      <c r="M1" s="28" t="s">
        <v>64</v>
      </c>
      <c r="N1" s="28" t="s">
        <v>65</v>
      </c>
      <c r="O1" s="28" t="s">
        <v>66</v>
      </c>
      <c r="P1" s="28" t="s">
        <v>67</v>
      </c>
      <c r="Q1" s="28" t="s">
        <v>68</v>
      </c>
      <c r="R1" s="28" t="s">
        <v>69</v>
      </c>
      <c r="S1" s="28" t="s">
        <v>70</v>
      </c>
      <c r="T1" s="28" t="s">
        <v>71</v>
      </c>
      <c r="U1" s="28" t="s">
        <v>72</v>
      </c>
      <c r="V1" s="28" t="s">
        <v>73</v>
      </c>
      <c r="W1" s="28" t="s">
        <v>74</v>
      </c>
      <c r="X1" s="28" t="s">
        <v>75</v>
      </c>
      <c r="Y1" s="28" t="s">
        <v>76</v>
      </c>
      <c r="Z1" s="28" t="s">
        <v>77</v>
      </c>
      <c r="AA1" s="28" t="s">
        <v>78</v>
      </c>
      <c r="AB1" s="28" t="s">
        <v>79</v>
      </c>
      <c r="AC1" s="28" t="s">
        <v>80</v>
      </c>
      <c r="AD1" s="28" t="s">
        <v>81</v>
      </c>
      <c r="AE1" s="28" t="s">
        <v>82</v>
      </c>
      <c r="AF1" s="28" t="s">
        <v>83</v>
      </c>
      <c r="AG1" s="28" t="s">
        <v>84</v>
      </c>
      <c r="AH1" s="28" t="s">
        <v>85</v>
      </c>
      <c r="AI1" s="28" t="s">
        <v>86</v>
      </c>
      <c r="AJ1" s="28" t="s">
        <v>87</v>
      </c>
      <c r="AK1" s="28" t="s">
        <v>88</v>
      </c>
      <c r="AL1" s="28" t="s">
        <v>89</v>
      </c>
      <c r="AM1" s="28" t="s">
        <v>90</v>
      </c>
      <c r="AN1" s="28" t="s">
        <v>91</v>
      </c>
      <c r="AO1" s="28" t="s">
        <v>92</v>
      </c>
      <c r="AP1" s="28" t="s">
        <v>93</v>
      </c>
      <c r="AQ1" s="28" t="s">
        <v>94</v>
      </c>
      <c r="AR1" s="28" t="s">
        <v>95</v>
      </c>
      <c r="AS1" s="28" t="s">
        <v>96</v>
      </c>
      <c r="AT1" s="30" t="s">
        <v>97</v>
      </c>
      <c r="AU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