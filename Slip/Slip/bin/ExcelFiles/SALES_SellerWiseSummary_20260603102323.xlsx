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<sst xmlns="http://schemas.openxmlformats.org/spreadsheetml/2006/main" count="89" uniqueCount="89">
  <si>
    <t>2026-06-03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</si>
  <si>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</si>
  <si>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</si>
  <si>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</si>
  <si>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</si>
  <si>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</si>
  <si>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</si>
  <si>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</si>
  <si>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</si>
  <si>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</si>
  <si>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</si>
  <si>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Portal</t>
  </si>
  <si>
    <t>Hitesh Satani</t>
  </si>
  <si>
    <t>Hiten</t>
  </si>
  <si>
    <t>NEWYORK</t>
  </si>
  <si>
    <t>Anand Naliyadhara</t>
  </si>
  <si>
    <t>Sahil</t>
  </si>
  <si>
    <t>Aayush</t>
  </si>
  <si>
    <t>Pankti</t>
  </si>
  <si>
    <t>Nirali kalsara</t>
  </si>
  <si>
    <t>Jemish</t>
  </si>
  <si>
    <t>Asha Prajapati</t>
  </si>
  <si>
    <t>Arpit Radadiya</t>
  </si>
  <si>
    <t>Shraddha Patel</t>
  </si>
  <si>
    <t>VDB</t>
  </si>
  <si>
    <t>Ketan Kathiriya</t>
  </si>
  <si>
    <t>Bhawna Jagetiya</t>
  </si>
  <si>
    <t>Mihir</t>
  </si>
  <si>
    <t>ADMIN</t>
  </si>
  <si>
    <t>Parth Shah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</si>
  <si>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</si>
  <si>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</si>
  <si>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</si>
  <si>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</si>
  <si>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</si>
  <si>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</si>
  <si>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</si>
  <si>
    <t>ID</t>
  </si>
  <si>
    <t>Stone_NO</t>
  </si>
  <si>
    <t>Shape</t>
  </si>
  <si>
    <t>Weight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</si>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</sst>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4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  <font>
      <sz val="11"/>
      <color rgb="FF0061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2" applyFont="1" fillId="3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7" applyNumberFormat="1" fontId="0" borderId="3" applyBorder="1" xfId="0" applyAlignment="1">
      <alignment horizontal="center" vertical="center"/>
    </xf>
    <xf numFmtId="0" fontId="3" applyFont="1" fillId="4" applyFill="1" borderId="3" applyBorder="1" xfId="0" applyAlignment="1">
      <alignment horizontal="center" vertical="center"/>
    </xf>
    <xf numFmtId="0" fontId="2" applyFont="1" fillId="5" applyFill="1" borderId="3" applyBorder="1" xfId="0" applyAlignment="1">
      <alignment horizontal="center" vertical="center"/>
    </xf>
    <xf numFmtId="164" applyNumberFormat="1" fontId="2" applyFont="1" fillId="5" applyFill="1" borderId="3" applyBorder="1" xfId="0" applyAlignment="1">
      <alignment horizontal="center" vertical="center"/>
    </xf>
    <xf numFmtId="165" applyNumberFormat="1" fontId="2" applyFont="1" fillId="5" applyFill="1" borderId="3" applyBorder="1" xfId="0" applyAlignment="1">
      <alignment horizontal="center" vertical="center"/>
    </xf>
    <xf numFmtId="166" applyNumberFormat="1" fontId="2" applyFont="1" fillId="5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2" applyFont="1" fillId="6" applyFill="1" borderId="1" applyBorder="1"/>
    <xf numFmtId="0" fontId="2" applyFont="1" fillId="6" applyFill="1" borderId="2" applyBorder="1"/>
    <xf numFmtId="0" fontId="2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2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IF(E32&gt;0,E3/E32,"")</f>
      </c>
    </row>
    <row r="4">
      <c r="A4" s="3" t="s">
        <v>8</v>
      </c>
      <c r="B4" s="3" t="s">
        <v>10</v>
      </c>
      <c r="C4" s="5">
        <v>522</v>
      </c>
      <c r="D4" s="6">
        <v>1172.67</v>
      </c>
      <c r="E4" s="5">
        <v>111103.06</v>
      </c>
      <c r="F4" s="7">
        <f>IF(D4&gt;0,E4/D4,"")</f>
      </c>
      <c r="G4" s="8">
        <f>IF(E32&gt;0,E4/E32,"")</f>
      </c>
    </row>
    <row r="5">
      <c r="A5" s="3" t="s">
        <v>11</v>
      </c>
      <c r="B5" s="3" t="s">
        <v>10</v>
      </c>
      <c r="C5" s="5">
        <v>702</v>
      </c>
      <c r="D5" s="6">
        <v>931.48</v>
      </c>
      <c r="E5" s="5">
        <v>77165.19</v>
      </c>
      <c r="F5" s="7">
        <f>IF(D5&gt;0,E5/D5,"")</f>
      </c>
      <c r="G5" s="8">
        <f>IF(E32&gt;0,E5/E32,"")</f>
      </c>
    </row>
    <row r="6">
      <c r="A6" s="3" t="s">
        <v>12</v>
      </c>
      <c r="B6" s="3" t="s">
        <v>10</v>
      </c>
      <c r="C6" s="5">
        <v>707</v>
      </c>
      <c r="D6" s="6">
        <v>809.88</v>
      </c>
      <c r="E6" s="5">
        <v>71871.02</v>
      </c>
      <c r="F6" s="7">
        <f>IF(D6&gt;0,E6/D6,"")</f>
      </c>
      <c r="G6" s="8">
        <f>IF(E32&gt;0,E6/E32,"")</f>
      </c>
    </row>
    <row r="7">
      <c r="A7" s="3" t="s">
        <v>13</v>
      </c>
      <c r="B7" s="9" t="s">
        <v>14</v>
      </c>
      <c r="C7" s="5">
        <v>219</v>
      </c>
      <c r="D7" s="6">
        <v>873.29</v>
      </c>
      <c r="E7" s="5">
        <v>69137.8</v>
      </c>
      <c r="F7" s="7">
        <f>IF(D7&gt;0,E7/D7,"")</f>
      </c>
      <c r="G7" s="8">
        <f>IF(E32&gt;0,E7/E32,"")</f>
      </c>
    </row>
    <row r="8">
      <c r="A8" s="3" t="s">
        <v>15</v>
      </c>
      <c r="B8" s="3" t="s">
        <v>10</v>
      </c>
      <c r="C8" s="5">
        <v>553</v>
      </c>
      <c r="D8" s="6">
        <v>714.7</v>
      </c>
      <c r="E8" s="5">
        <v>61322.67</v>
      </c>
      <c r="F8" s="7">
        <f>IF(D8&gt;0,E8/D8,"")</f>
      </c>
      <c r="G8" s="8">
        <f>IF(E32&gt;0,E8/E32,"")</f>
      </c>
    </row>
    <row r="9">
      <c r="A9" s="3" t="s">
        <v>16</v>
      </c>
      <c r="B9" s="9" t="s">
        <v>14</v>
      </c>
      <c r="C9" s="5">
        <v>193</v>
      </c>
      <c r="D9" s="6">
        <v>289.64</v>
      </c>
      <c r="E9" s="5">
        <v>31701.95</v>
      </c>
      <c r="F9" s="7">
        <f>IF(D9&gt;0,E9/D9,"")</f>
      </c>
      <c r="G9" s="8">
        <f>IF(E32&gt;0,E9/E32,"")</f>
      </c>
    </row>
    <row r="10">
      <c r="A10" s="3" t="s">
        <v>17</v>
      </c>
      <c r="B10" s="3" t="s">
        <v>9</v>
      </c>
      <c r="C10" s="5">
        <v>230</v>
      </c>
      <c r="D10" s="6">
        <v>299.88</v>
      </c>
      <c r="E10" s="5">
        <v>24869.77</v>
      </c>
      <c r="F10" s="7">
        <f>IF(D10&gt;0,E10/D10,"")</f>
      </c>
      <c r="G10" s="8">
        <f>IF(E32&gt;0,E10/E32,"")</f>
      </c>
    </row>
    <row r="11">
      <c r="A11" s="3" t="s">
        <v>18</v>
      </c>
      <c r="B11" s="9" t="s">
        <v>14</v>
      </c>
      <c r="C11" s="5">
        <v>88</v>
      </c>
      <c r="D11" s="6">
        <v>208.8</v>
      </c>
      <c r="E11" s="5">
        <v>23810.46</v>
      </c>
      <c r="F11" s="7">
        <f>IF(D11&gt;0,E11/D11,"")</f>
      </c>
      <c r="G11" s="8">
        <f>IF(E32&gt;0,E11/E32,"")</f>
      </c>
    </row>
    <row r="12">
      <c r="A12" s="3" t="s">
        <v>19</v>
      </c>
      <c r="B12" s="3" t="s">
        <v>10</v>
      </c>
      <c r="C12" s="5">
        <v>139</v>
      </c>
      <c r="D12" s="6">
        <v>178.16</v>
      </c>
      <c r="E12" s="5">
        <v>15092.43</v>
      </c>
      <c r="F12" s="7">
        <f>IF(D12&gt;0,E12/D12,"")</f>
      </c>
      <c r="G12" s="8">
        <f>IF(E32&gt;0,E12/E32,"")</f>
      </c>
    </row>
    <row r="13">
      <c r="A13" s="3" t="s">
        <v>20</v>
      </c>
      <c r="B13" s="9" t="s">
        <v>14</v>
      </c>
      <c r="C13" s="5">
        <v>58</v>
      </c>
      <c r="D13" s="6">
        <v>123.91</v>
      </c>
      <c r="E13" s="5">
        <v>13331.73</v>
      </c>
      <c r="F13" s="7">
        <f>IF(D13&gt;0,E13/D13,"")</f>
      </c>
      <c r="G13" s="8">
        <f>IF(E32&gt;0,E13/E32,"")</f>
      </c>
    </row>
    <row r="14">
      <c r="A14" s="3" t="s">
        <v>21</v>
      </c>
      <c r="B14" s="3" t="s">
        <v>10</v>
      </c>
      <c r="C14" s="5">
        <v>85</v>
      </c>
      <c r="D14" s="6">
        <v>129.05</v>
      </c>
      <c r="E14" s="5">
        <v>11969.63</v>
      </c>
      <c r="F14" s="7">
        <f>IF(D14&gt;0,E14/D14,"")</f>
      </c>
      <c r="G14" s="8">
        <f>IF(E32&gt;0,E14/E32,"")</f>
      </c>
    </row>
    <row r="15">
      <c r="A15" s="3" t="s">
        <v>12</v>
      </c>
      <c r="B15" s="3" t="s">
        <v>9</v>
      </c>
      <c r="C15" s="5">
        <v>80</v>
      </c>
      <c r="D15" s="6">
        <v>95.1</v>
      </c>
      <c r="E15" s="5">
        <v>10461</v>
      </c>
      <c r="F15" s="7">
        <f>IF(D15&gt;0,E15/D15,"")</f>
      </c>
      <c r="G15" s="8">
        <f>IF(E32&gt;0,E15/E32,"")</f>
      </c>
    </row>
    <row r="16">
      <c r="A16" s="3" t="s">
        <v>21</v>
      </c>
      <c r="B16" s="3" t="s">
        <v>9</v>
      </c>
      <c r="C16" s="5">
        <v>55</v>
      </c>
      <c r="D16" s="6">
        <v>93.52</v>
      </c>
      <c r="E16" s="5">
        <v>9319.65</v>
      </c>
      <c r="F16" s="7">
        <f>IF(D16&gt;0,E16/D16,"")</f>
      </c>
      <c r="G16" s="8">
        <f>IF(E32&gt;0,E16/E32,"")</f>
      </c>
    </row>
    <row r="17">
      <c r="A17" s="3" t="s">
        <v>22</v>
      </c>
      <c r="B17" s="3" t="s">
        <v>9</v>
      </c>
      <c r="C17" s="5">
        <v>90</v>
      </c>
      <c r="D17" s="6">
        <v>107.01</v>
      </c>
      <c r="E17" s="5">
        <v>9209.98</v>
      </c>
      <c r="F17" s="7">
        <f>IF(D17&gt;0,E17/D17,"")</f>
      </c>
      <c r="G17" s="8">
        <f>IF(E32&gt;0,E17/E32,"")</f>
      </c>
    </row>
    <row r="18">
      <c r="A18" s="3" t="s">
        <v>23</v>
      </c>
      <c r="B18" s="3" t="s">
        <v>10</v>
      </c>
      <c r="C18" s="5">
        <v>53</v>
      </c>
      <c r="D18" s="6">
        <v>73.75</v>
      </c>
      <c r="E18" s="5">
        <v>5919.21</v>
      </c>
      <c r="F18" s="7">
        <f>IF(D18&gt;0,E18/D18,"")</f>
      </c>
      <c r="G18" s="8">
        <f>IF(E32&gt;0,E18/E32,"")</f>
      </c>
    </row>
    <row r="19">
      <c r="A19" s="3" t="s">
        <v>24</v>
      </c>
      <c r="B19" s="3" t="s">
        <v>10</v>
      </c>
      <c r="C19" s="5">
        <v>37</v>
      </c>
      <c r="D19" s="6">
        <v>54.22</v>
      </c>
      <c r="E19" s="5">
        <v>4873.75</v>
      </c>
      <c r="F19" s="7">
        <f>IF(D19&gt;0,E19/D19,"")</f>
      </c>
      <c r="G19" s="8">
        <f>IF(E32&gt;0,E19/E32,"")</f>
      </c>
    </row>
    <row r="20">
      <c r="A20" s="3" t="s">
        <v>25</v>
      </c>
      <c r="B20" s="9" t="s">
        <v>14</v>
      </c>
      <c r="C20" s="5">
        <v>8</v>
      </c>
      <c r="D20" s="6">
        <v>38.02</v>
      </c>
      <c r="E20" s="5">
        <v>4492.57</v>
      </c>
      <c r="F20" s="7">
        <f>IF(D20&gt;0,E20/D20,"")</f>
      </c>
      <c r="G20" s="8">
        <f>IF(E32&gt;0,E20/E32,"")</f>
      </c>
    </row>
    <row r="21">
      <c r="A21" s="3" t="s">
        <v>26</v>
      </c>
      <c r="B21" s="3" t="s">
        <v>10</v>
      </c>
      <c r="C21" s="5">
        <v>20</v>
      </c>
      <c r="D21" s="6">
        <v>23.51</v>
      </c>
      <c r="E21" s="5">
        <v>1952.13</v>
      </c>
      <c r="F21" s="7">
        <f>IF(D21&gt;0,E21/D21,"")</f>
      </c>
      <c r="G21" s="8">
        <f>IF(E32&gt;0,E21/E32,"")</f>
      </c>
    </row>
    <row r="22">
      <c r="A22" s="3" t="s">
        <v>27</v>
      </c>
      <c r="B22" s="3" t="s">
        <v>10</v>
      </c>
      <c r="C22" s="5">
        <v>9</v>
      </c>
      <c r="D22" s="6">
        <v>15.98</v>
      </c>
      <c r="E22" s="5">
        <v>1344</v>
      </c>
      <c r="F22" s="7">
        <f>IF(D22&gt;0,E22/D22,"")</f>
      </c>
      <c r="G22" s="8">
        <f>IF(E32&gt;0,E22/E32,"")</f>
      </c>
    </row>
    <row r="23">
      <c r="A23" s="3" t="s">
        <v>28</v>
      </c>
      <c r="B23" s="3" t="s">
        <v>10</v>
      </c>
      <c r="C23" s="5">
        <v>9</v>
      </c>
      <c r="D23" s="6">
        <v>11.09</v>
      </c>
      <c r="E23" s="5">
        <v>879.87</v>
      </c>
      <c r="F23" s="7">
        <f>IF(D23&gt;0,E23/D23,"")</f>
      </c>
      <c r="G23" s="8">
        <f>IF(E32&gt;0,E23/E32,"")</f>
      </c>
    </row>
    <row r="24">
      <c r="A24" s="3" t="s">
        <v>29</v>
      </c>
      <c r="B24" s="3" t="s">
        <v>10</v>
      </c>
      <c r="C24" s="5">
        <v>9</v>
      </c>
      <c r="D24" s="6">
        <v>10.74</v>
      </c>
      <c r="E24" s="5">
        <v>838.99</v>
      </c>
      <c r="F24" s="7">
        <f>IF(D24&gt;0,E24/D24,"")</f>
      </c>
      <c r="G24" s="8">
        <f>IF(E32&gt;0,E24/E32,"")</f>
      </c>
    </row>
    <row r="25">
      <c r="A25" s="3" t="s">
        <v>30</v>
      </c>
      <c r="B25" s="3" t="s">
        <v>10</v>
      </c>
      <c r="C25" s="5">
        <v>9</v>
      </c>
      <c r="D25" s="6">
        <v>9.56</v>
      </c>
      <c r="E25" s="5">
        <v>800.72</v>
      </c>
      <c r="F25" s="7">
        <f>IF(D25&gt;0,E25/D25,"")</f>
      </c>
      <c r="G25" s="8">
        <f>IF(E32&gt;0,E25/E32,"")</f>
      </c>
    </row>
    <row r="26">
      <c r="A26" s="3" t="s">
        <v>31</v>
      </c>
      <c r="B26" s="3" t="s">
        <v>9</v>
      </c>
      <c r="C26" s="5">
        <v>1</v>
      </c>
      <c r="D26" s="6">
        <v>2.05</v>
      </c>
      <c r="E26" s="5">
        <v>303.4</v>
      </c>
      <c r="F26" s="7">
        <f>IF(D26&gt;0,E26/D26,"")</f>
      </c>
      <c r="G26" s="8">
        <f>IF(E32&gt;0,E26/E32,"")</f>
      </c>
    </row>
    <row r="27">
      <c r="A27" s="3" t="s">
        <v>11</v>
      </c>
      <c r="B27" s="9" t="s">
        <v>14</v>
      </c>
      <c r="C27" s="5">
        <v>1</v>
      </c>
      <c r="D27" s="6">
        <v>5.01</v>
      </c>
      <c r="E27" s="5">
        <v>298.1</v>
      </c>
      <c r="F27" s="7">
        <f>IF(D27&gt;0,E27/D27,"")</f>
      </c>
      <c r="G27" s="8">
        <f>IF(E32&gt;0,E27/E32,"")</f>
      </c>
    </row>
    <row r="28">
      <c r="A28" s="3" t="s">
        <v>32</v>
      </c>
      <c r="B28" s="3" t="s">
        <v>10</v>
      </c>
      <c r="C28" s="5">
        <v>2</v>
      </c>
      <c r="D28" s="6">
        <v>3.05</v>
      </c>
      <c r="E28" s="5">
        <v>279.08</v>
      </c>
      <c r="F28" s="7">
        <f>IF(D28&gt;0,E28/D28,"")</f>
      </c>
      <c r="G28" s="8">
        <f>IF(E32&gt;0,E28/E32,"")</f>
      </c>
    </row>
    <row r="29">
      <c r="A29" s="3" t="s">
        <v>33</v>
      </c>
      <c r="B29" s="9" t="s">
        <v>14</v>
      </c>
      <c r="C29" s="5">
        <v>1</v>
      </c>
      <c r="D29" s="6">
        <v>2.07</v>
      </c>
      <c r="E29" s="5">
        <v>267.34</v>
      </c>
      <c r="F29" s="7">
        <f>IF(D29&gt;0,E29/D29,"")</f>
      </c>
      <c r="G29" s="8">
        <f>IF(E32&gt;0,E29/E32,"")</f>
      </c>
    </row>
    <row r="30">
      <c r="A30" s="3" t="s">
        <v>34</v>
      </c>
      <c r="B30" s="9" t="s">
        <v>14</v>
      </c>
      <c r="C30" s="5">
        <v>1</v>
      </c>
      <c r="D30" s="6">
        <v>1.5</v>
      </c>
      <c r="E30" s="5">
        <v>172.5</v>
      </c>
      <c r="F30" s="7">
        <f>IF(D30&gt;0,E30/D30,"")</f>
      </c>
      <c r="G30" s="8">
        <f>IF(E32&gt;0,E30/E32,"")</f>
      </c>
    </row>
    <row r="31">
      <c r="A31" s="3" t="s">
        <v>35</v>
      </c>
      <c r="B31" s="3" t="s">
        <v>10</v>
      </c>
      <c r="C31" s="5">
        <v>1</v>
      </c>
      <c r="D31" s="6">
        <v>1</v>
      </c>
      <c r="E31" s="5">
        <v>92</v>
      </c>
      <c r="F31" s="7">
        <f>IF(D31&gt;0,E31/D31,"")</f>
      </c>
      <c r="G31" s="8">
        <f>IF(E32&gt;0,E31/E32,"")</f>
      </c>
    </row>
    <row r="32">
      <c r="A32" s="10" t="s">
        <v>36</v>
      </c>
      <c r="B32" s="10"/>
      <c r="C32" s="11">
        <f>SUM(C3:C31)</f>
      </c>
      <c r="D32" s="12">
        <f>SUM(D3:D31)</f>
      </c>
      <c r="E32" s="11">
        <f>SUM(E3:E31)</f>
      </c>
      <c r="F32" s="13">
        <f>IF(D32&gt;0,E32/D32,"")</f>
      </c>
      <c r="G32" s="14">
        <f>SUM(G3:G31)</f>
      </c>
    </row>
  </sheetData>
  <mergeCells>
    <mergeCell ref="A1:G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A2"/>
  <sheetViews>
    <sheetView workbookViewId="0" showGridLines="1"/>
  </sheetViews>
  <sheetFormatPr defaultRowHeight="15"/>
  <cols>
    <col min="1" max="1" width="9.140625" customWidth="1"/>
    <col min="2" max="2" width="11.2289762496948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9.68181800842285" customWidth="1"/>
    <col min="14" max="14" width="11.5954751968384" customWidth="1"/>
    <col min="15" max="15" width="9.140625" customWidth="1"/>
    <col min="16" max="16" width="16.4966926574707" customWidth="1"/>
    <col min="17" max="17" width="9.21915149688721" customWidth="1"/>
    <col min="18" max="18" width="9.140625" customWidth="1"/>
    <col min="19" max="19" width="9.140625" customWidth="1"/>
    <col min="20" max="20" width="9.37076091766357" customWidth="1"/>
    <col min="21" max="21" width="9.140625" customWidth="1"/>
    <col min="22" max="22" width="10.7639646530151" customWidth="1"/>
    <col min="23" max="23" width="12.7436428070068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1.8076982498169" customWidth="1"/>
    <col min="31" max="31" width="12.9617586135864" customWidth="1"/>
    <col min="32" max="32" width="12.3175382614136" customWidth="1"/>
    <col min="33" max="33" width="9.140625" customWidth="1"/>
    <col min="34" max="34" width="9.140625" customWidth="1"/>
    <col min="35" max="35" width="9.140625" customWidth="1"/>
    <col min="36" max="36" width="13.7364339828491" customWidth="1"/>
    <col min="37" max="37" width="9.140625" customWidth="1"/>
    <col min="38" max="38" width="9.140625" customWidth="1"/>
    <col min="39" max="39" width="10.9748563766479" customWidth="1"/>
    <col min="40" max="40" width="9.140625" customWidth="1"/>
    <col min="41" max="41" width="14.5852975845337" customWidth="1"/>
    <col min="42" max="42" width="9.140625" customWidth="1"/>
    <col min="43" max="43" width="10.8201847076416" customWidth="1"/>
    <col min="44" max="44" width="9.140625" customWidth="1"/>
    <col min="45" max="45" width="9.16132259368896" customWidth="1"/>
    <col min="46" max="46" width="9.140625" customWidth="1"/>
    <col min="47" max="47" width="9.89054298400879" customWidth="1"/>
    <col min="48" max="48" width="9.140625" customWidth="1"/>
    <col min="49" max="49" width="9.62378597259521" customWidth="1"/>
    <col min="50" max="50" width="9.140625" customWidth="1"/>
    <col min="51" max="51" width="9.140625" customWidth="1"/>
    <col min="52" max="52" width="9.140625" customWidth="1"/>
    <col min="53" max="53" width="9.140625" customWidth="1"/>
  </cols>
  <sheetData>
    <row r="1">
      <c r="A1" s="17" t="s">
        <v>37</v>
      </c>
      <c r="B1" s="16" t="s">
        <v>38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43</v>
      </c>
      <c r="H1" s="16" t="s">
        <v>44</v>
      </c>
      <c r="I1" s="16" t="s">
        <v>45</v>
      </c>
      <c r="J1" s="16" t="s">
        <v>46</v>
      </c>
      <c r="K1" s="16" t="s">
        <v>47</v>
      </c>
      <c r="L1" s="16" t="s">
        <v>48</v>
      </c>
      <c r="M1" s="16" t="s">
        <v>49</v>
      </c>
      <c r="N1" s="16" t="s">
        <v>50</v>
      </c>
      <c r="O1" s="16" t="s">
        <v>51</v>
      </c>
      <c r="P1" s="16" t="s">
        <v>52</v>
      </c>
      <c r="Q1" s="16" t="s">
        <v>53</v>
      </c>
      <c r="R1" s="16" t="s">
        <v>54</v>
      </c>
      <c r="S1" s="16" t="s">
        <v>55</v>
      </c>
      <c r="T1" s="16" t="s">
        <v>56</v>
      </c>
      <c r="U1" s="16" t="s">
        <v>57</v>
      </c>
      <c r="V1" s="16" t="s">
        <v>58</v>
      </c>
      <c r="W1" s="16" t="s">
        <v>59</v>
      </c>
      <c r="X1" s="16" t="s">
        <v>60</v>
      </c>
      <c r="Y1" s="16" t="s">
        <v>61</v>
      </c>
      <c r="Z1" s="16" t="s">
        <v>62</v>
      </c>
      <c r="AA1" s="16" t="s">
        <v>63</v>
      </c>
      <c r="AB1" s="16" t="s">
        <v>64</v>
      </c>
      <c r="AC1" s="16" t="s">
        <v>65</v>
      </c>
      <c r="AD1" s="16" t="s">
        <v>66</v>
      </c>
      <c r="AE1" s="16" t="s">
        <v>67</v>
      </c>
      <c r="AF1" s="16" t="s">
        <v>68</v>
      </c>
      <c r="AG1" s="16" t="s">
        <v>69</v>
      </c>
      <c r="AH1" s="16" t="s">
        <v>70</v>
      </c>
      <c r="AI1" s="16" t="s">
        <v>71</v>
      </c>
      <c r="AJ1" s="16" t="s">
        <v>72</v>
      </c>
      <c r="AK1" s="16" t="s">
        <v>73</v>
      </c>
      <c r="AL1" s="16" t="s">
        <v>74</v>
      </c>
      <c r="AM1" s="16" t="s">
        <v>75</v>
      </c>
      <c r="AN1" s="16" t="s">
        <v>76</v>
      </c>
      <c r="AO1" s="16" t="s">
        <v>77</v>
      </c>
      <c r="AP1" s="16" t="s">
        <v>78</v>
      </c>
      <c r="AQ1" s="16" t="s">
        <v>79</v>
      </c>
      <c r="AR1" s="16" t="s">
        <v>80</v>
      </c>
      <c r="AS1" s="16" t="s">
        <v>81</v>
      </c>
      <c r="AT1" s="16" t="s">
        <v>82</v>
      </c>
      <c r="AU1" s="16" t="s">
        <v>83</v>
      </c>
      <c r="AV1" s="16" t="s">
        <v>84</v>
      </c>
      <c r="AW1" s="16" t="s">
        <v>85</v>
      </c>
      <c r="AX1" s="16" t="s">
        <v>86</v>
      </c>
      <c r="AY1" s="16" t="s">
        <v>87</v>
      </c>
      <c r="AZ1" s="18" t="s">
        <v>88</v>
      </c>
      <c r="BA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