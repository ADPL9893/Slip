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</sheets>
  <calcPr fullCalcOnLoad="1" fullPrecision="1"/>
</workbook>
</file>

<file path=xl/sharedStrings.xml><?xml version="1.0" encoding="utf-8"?>
<sst xmlns="http://schemas.openxmlformats.org/spreadsheetml/2006/main" count="35" uniqueCount="35">
  <si>
    <r>
      <rPr>
        <rFont val="Aptos Narrow"/>
        <b/>
        <color rgb="FF000000"/>
        <sz val="16"/>
      </rPr>
      <t xml:space="preserve">29-05-2026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</si>
  <si>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</si>
  <si>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</si>
  <si>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</si>
  <si>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</si>
  <si>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</si>
  <si>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</si>
  <si>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</si>
  <si>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</si>
  <si>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</si>
  <si>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</si>
  <si>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</si>
  <si>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</si>
  <si>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</si>
  <si>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</si>
  <si>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</si>
  <si>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</si>
  <si>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</si>
  <si>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</si>
  <si>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</si>
  <si>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</si>
  <si>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</si>
  <si>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1.61-1.99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</si>
  <si>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</si>
  <si>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</si>
  <si>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</si>
  <si>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</si>
  <si>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</si>
  <si>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</si>
  <si>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</si>
  <si>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</si>
  <si>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</si>
  <si>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5.00-5.10</t>
  </si>
  <si>
    <t>5.50-5.60</t>
  </si>
  <si>
    <t>6.00-6.10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</si>
</sst>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164" applyNumberFormat="1" fontId="3" applyFont="1" fillId="3" applyFill="1" borderId="1" applyBorder="1" xfId="0" applyAlignment="1">
      <alignment horizontal="center" vertical="center"/>
    </xf>
    <xf numFmtId="165" applyNumberFormat="1" fontId="3" applyFont="1" fillId="3" applyFill="1" borderId="1" applyBorder="1" xfId="0" applyAlignment="1">
      <alignment horizontal="center" vertical="center"/>
    </xf>
    <xf numFmtId="166" applyNumberFormat="1" fontId="3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2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SUM(B5:B10)</f>
      </c>
      <c r="C4" s="7">
        <f>SUM(C5:C10)</f>
      </c>
      <c r="D4" s="8">
        <f>IF(B4&gt;0,C4/B4,"")</f>
      </c>
      <c r="E4" s="6">
        <f>SUM(E5:E10)</f>
      </c>
      <c r="F4" s="7">
        <f>SUM(F5:F10)</f>
      </c>
      <c r="G4" s="8">
        <f>IF(E4&gt;0,F4/E4,"")</f>
      </c>
      <c r="H4" s="6">
        <f>SUM(H5:H10)</f>
      </c>
      <c r="I4" s="7">
        <f>SUM(I5:I10)</f>
      </c>
      <c r="J4" s="8">
        <f>IF(H4&gt;0,I4/H4,"")</f>
      </c>
      <c r="K4" s="6">
        <f>SUM(K5:K10)</f>
      </c>
      <c r="L4" s="7">
        <f>SUM(L5:L10)</f>
      </c>
      <c r="M4" s="8">
        <f>IF(K4&gt;0,L4/K4,"")</f>
      </c>
      <c r="N4" s="6">
        <f>SUM(N5:N10)</f>
      </c>
      <c r="O4" s="7">
        <f>SUM(O5:O10)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39.99</v>
      </c>
      <c r="C5" s="11">
        <v>4034.06</v>
      </c>
      <c r="D5" s="12">
        <f>IF(B5&gt;0,C5/B5,"")</f>
      </c>
      <c r="E5" s="10">
        <v>354.31</v>
      </c>
      <c r="F5" s="11">
        <v>29064.95</v>
      </c>
      <c r="G5" s="12">
        <f>IF(E5&gt;0,F5/E5,"")</f>
      </c>
      <c r="H5" s="10">
        <v>146.41</v>
      </c>
      <c r="I5" s="11">
        <v>11526.33</v>
      </c>
      <c r="J5" s="12">
        <f>IF(H5&gt;0,I5/H5,"")</f>
      </c>
      <c r="K5" s="10">
        <v>45.49</v>
      </c>
      <c r="L5" s="11">
        <v>3168.96</v>
      </c>
      <c r="M5" s="12">
        <f>IF(K5&gt;0,L5/K5,"")</f>
      </c>
      <c r="N5" s="10">
        <v>1.01</v>
      </c>
      <c r="O5" s="11">
        <v>64.64</v>
      </c>
      <c r="P5" s="12">
        <f>IF(N5&gt;0,O5/N5,"")</f>
      </c>
      <c r="S5" s="9"/>
      <c r="T5" s="9"/>
      <c r="U5" s="9"/>
      <c r="V5" s="9"/>
    </row>
    <row r="6">
      <c r="A6" s="9" t="s">
        <v>13</v>
      </c>
      <c r="B6" s="10">
        <v>19.29</v>
      </c>
      <c r="C6" s="11">
        <v>1890.56</v>
      </c>
      <c r="D6" s="12">
        <f>IF(B6&gt;0,C6/B6,"")</f>
      </c>
      <c r="E6" s="10">
        <v>337.83</v>
      </c>
      <c r="F6" s="11">
        <v>27926.54</v>
      </c>
      <c r="G6" s="12">
        <f>IF(E6&gt;0,F6/E6,"")</f>
      </c>
      <c r="H6" s="10">
        <v>217.27</v>
      </c>
      <c r="I6" s="11">
        <v>17484.11</v>
      </c>
      <c r="J6" s="12">
        <f>IF(H6&gt;0,I6/H6,"")</f>
      </c>
      <c r="K6" s="10">
        <v>36.08</v>
      </c>
      <c r="L6" s="11">
        <v>2559.38</v>
      </c>
      <c r="M6" s="12">
        <f>IF(K6&gt;0,L6/K6,"")</f>
      </c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>
        <v>12.34</v>
      </c>
      <c r="C7" s="11">
        <v>1167.27</v>
      </c>
      <c r="D7" s="12">
        <f>IF(B7&gt;0,C7/B7,"")</f>
      </c>
      <c r="E7" s="10">
        <v>290.85</v>
      </c>
      <c r="F7" s="11">
        <v>23446.23</v>
      </c>
      <c r="G7" s="12">
        <f>IF(E7&gt;0,F7/E7,"")</f>
      </c>
      <c r="H7" s="10">
        <v>139.5</v>
      </c>
      <c r="I7" s="11">
        <v>11169.66</v>
      </c>
      <c r="J7" s="12">
        <f>IF(H7&gt;0,I7/H7,"")</f>
      </c>
      <c r="K7" s="10">
        <v>20.67</v>
      </c>
      <c r="L7" s="11">
        <v>1578.18</v>
      </c>
      <c r="M7" s="12">
        <f>IF(K7&gt;0,L7/K7,"")</f>
      </c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>
        <v>4.08</v>
      </c>
      <c r="C8" s="11">
        <v>352.72</v>
      </c>
      <c r="D8" s="12">
        <f>IF(B8&gt;0,C8/B8,"")</f>
      </c>
      <c r="E8" s="10">
        <v>75.69</v>
      </c>
      <c r="F8" s="11">
        <v>5515.72</v>
      </c>
      <c r="G8" s="12">
        <f>IF(E8&gt;0,F8/E8,"")</f>
      </c>
      <c r="H8" s="10">
        <v>61.46</v>
      </c>
      <c r="I8" s="11">
        <v>4409.06</v>
      </c>
      <c r="J8" s="12">
        <f>IF(H8&gt;0,I8/H8,"")</f>
      </c>
      <c r="K8" s="10">
        <v>2.11</v>
      </c>
      <c r="L8" s="11">
        <v>193.26</v>
      </c>
      <c r="M8" s="12">
        <f>IF(K8&gt;0,L8/K8,"")</f>
      </c>
      <c r="N8" s="10">
        <v>2.06</v>
      </c>
      <c r="O8" s="11">
        <v>122.58</v>
      </c>
      <c r="P8" s="12">
        <f>IF(N8&gt;0,O8/N8,"")</f>
      </c>
      <c r="S8" s="9"/>
      <c r="T8" s="9"/>
      <c r="U8" s="9"/>
      <c r="V8" s="9"/>
    </row>
    <row r="9">
      <c r="A9" s="9" t="s">
        <v>16</v>
      </c>
      <c r="B9" s="10">
        <v>1.06</v>
      </c>
      <c r="C9" s="11">
        <v>81.62</v>
      </c>
      <c r="D9" s="12">
        <f>IF(B9&gt;0,C9/B9,"")</f>
      </c>
      <c r="E9" s="10">
        <v>11.55</v>
      </c>
      <c r="F9" s="11">
        <v>815.2</v>
      </c>
      <c r="G9" s="12">
        <f>IF(E9&gt;0,F9/E9,"")</f>
      </c>
      <c r="H9" s="10">
        <v>2.13</v>
      </c>
      <c r="I9" s="11">
        <v>138.45</v>
      </c>
      <c r="J9" s="12">
        <f>IF(H9&gt;0,I9/H9,"")</f>
      </c>
      <c r="K9" s="10"/>
      <c r="L9" s="11"/>
      <c r="M9" s="12"/>
      <c r="N9" s="10">
        <v>1.1</v>
      </c>
      <c r="O9" s="11">
        <v>63.95</v>
      </c>
      <c r="P9" s="12">
        <f>IF(N9&gt;0,O9/N9,"")</f>
      </c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>
        <v>1</v>
      </c>
      <c r="F10" s="11">
        <v>64</v>
      </c>
      <c r="G10" s="12">
        <f>IF(E10&gt;0,F10/E10,"")</f>
      </c>
      <c r="H10" s="10">
        <v>2.08</v>
      </c>
      <c r="I10" s="11">
        <v>138.52</v>
      </c>
      <c r="J10" s="12">
        <f>IF(H10&gt;0,I10/H10,"")</f>
      </c>
      <c r="K10" s="10">
        <v>1.03</v>
      </c>
      <c r="L10" s="11">
        <v>61.8</v>
      </c>
      <c r="M10" s="12">
        <f>IF(K10&gt;0,L10/K10,"")</f>
      </c>
      <c r="N10" s="10"/>
      <c r="O10" s="11"/>
      <c r="P10" s="12"/>
      <c r="S10" s="9"/>
      <c r="T10" s="9"/>
      <c r="U10" s="9"/>
      <c r="V10" s="9"/>
    </row>
    <row r="11">
      <c r="A11" s="5" t="s">
        <v>18</v>
      </c>
      <c r="B11" s="6">
        <f>SUM(B12:B17)</f>
      </c>
      <c r="C11" s="7">
        <f>SUM(C12:C17)</f>
      </c>
      <c r="D11" s="8">
        <f>IF(B11&gt;0,C11/B11,"")</f>
      </c>
      <c r="E11" s="6">
        <f>SUM(E12:E17)</f>
      </c>
      <c r="F11" s="7">
        <f>SUM(F12:F17)</f>
      </c>
      <c r="G11" s="8">
        <f>IF(E11&gt;0,F11/E11,"")</f>
      </c>
      <c r="H11" s="6">
        <f>SUM(H12:H17)</f>
      </c>
      <c r="I11" s="7">
        <f>SUM(I12:I17)</f>
      </c>
      <c r="J11" s="8">
        <f>IF(H11&gt;0,I11/H11,"")</f>
      </c>
      <c r="K11" s="6">
        <f>SUM(K12:K17)</f>
      </c>
      <c r="L11" s="7">
        <f>SUM(L12:L17)</f>
      </c>
      <c r="M11" s="8">
        <f>IF(K11&gt;0,L11/K11,"")</f>
      </c>
      <c r="N11" s="6">
        <f>SUM(N12:N17)</f>
      </c>
      <c r="O11" s="7">
        <f>SUM(O12:O17)</f>
      </c>
      <c r="P11" s="8">
        <f>IF(N11&gt;0,O11/N11,"")</f>
      </c>
      <c r="S11" s="14">
        <f>IF(B11&gt;0,C11/B11,"")</f>
      </c>
      <c r="T11" s="14">
        <f>IF(E11&gt;0,F11/E11,"")</f>
      </c>
      <c r="U11" s="14">
        <f>IF((H11+K11)&gt;0,(I11+L11)/(H11+K11),"")</f>
      </c>
      <c r="V11" s="14">
        <f>IF(N11&gt;0,O11/N11,"")</f>
      </c>
    </row>
    <row r="12">
      <c r="A12" s="9" t="s">
        <v>12</v>
      </c>
      <c r="B12" s="10"/>
      <c r="C12" s="11"/>
      <c r="D12" s="12"/>
      <c r="E12" s="10"/>
      <c r="F12" s="11"/>
      <c r="G12" s="12"/>
      <c r="H12" s="10">
        <v>1.13</v>
      </c>
      <c r="I12" s="11">
        <v>129.95</v>
      </c>
      <c r="J12" s="12">
        <f>IF(H12&gt;0,I12/H12,"")</f>
      </c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9" t="s">
        <v>13</v>
      </c>
      <c r="B13" s="10"/>
      <c r="C13" s="11"/>
      <c r="D13" s="12"/>
      <c r="E13" s="10">
        <v>3.46</v>
      </c>
      <c r="F13" s="11">
        <v>309.35</v>
      </c>
      <c r="G13" s="12">
        <f>IF(E13&gt;0,F13/E13,"")</f>
      </c>
      <c r="H13" s="10">
        <v>6.86</v>
      </c>
      <c r="I13" s="11">
        <v>601.08</v>
      </c>
      <c r="J13" s="12">
        <f>IF(H13&gt;0,I13/H13,"")</f>
      </c>
      <c r="K13" s="10"/>
      <c r="L13" s="11"/>
      <c r="M13" s="12"/>
      <c r="N13" s="10"/>
      <c r="O13" s="11"/>
      <c r="P13" s="12"/>
      <c r="S13" s="9"/>
      <c r="T13" s="9"/>
      <c r="U13" s="9"/>
      <c r="V13" s="9"/>
    </row>
    <row r="14">
      <c r="A14" s="9" t="s">
        <v>14</v>
      </c>
      <c r="B14" s="10"/>
      <c r="C14" s="11"/>
      <c r="D14" s="12"/>
      <c r="E14" s="10">
        <v>2.24</v>
      </c>
      <c r="F14" s="11">
        <v>166.75</v>
      </c>
      <c r="G14" s="12">
        <f>IF(E14&gt;0,F14/E14,"")</f>
      </c>
      <c r="H14" s="10">
        <v>1.11</v>
      </c>
      <c r="I14" s="11">
        <v>77.7</v>
      </c>
      <c r="J14" s="12">
        <f>IF(H14&gt;0,I14/H14,"")</f>
      </c>
      <c r="K14" s="10"/>
      <c r="L14" s="11"/>
      <c r="M14" s="12"/>
      <c r="N14" s="10"/>
      <c r="O14" s="11"/>
      <c r="P14" s="12"/>
      <c r="S14" s="9"/>
      <c r="T14" s="9"/>
      <c r="U14" s="9"/>
      <c r="V14" s="9"/>
    </row>
    <row r="15">
      <c r="A15" s="9" t="s">
        <v>15</v>
      </c>
      <c r="B15" s="10"/>
      <c r="C15" s="11"/>
      <c r="D15" s="12"/>
      <c r="E15" s="10">
        <v>3.34</v>
      </c>
      <c r="F15" s="11">
        <v>239.32</v>
      </c>
      <c r="G15" s="12">
        <f>IF(E15&gt;0,F15/E15,"")</f>
      </c>
      <c r="H15" s="10"/>
      <c r="I15" s="11"/>
      <c r="J15" s="12"/>
      <c r="K15" s="10">
        <v>1.11</v>
      </c>
      <c r="L15" s="11">
        <v>78.81</v>
      </c>
      <c r="M15" s="12">
        <f>IF(K15&gt;0,L15/K15,"")</f>
      </c>
      <c r="N15" s="10"/>
      <c r="O15" s="11"/>
      <c r="P15" s="12"/>
      <c r="S15" s="9"/>
      <c r="T15" s="9"/>
      <c r="U15" s="9"/>
      <c r="V15" s="9"/>
    </row>
    <row r="16">
      <c r="A16" s="9" t="s">
        <v>16</v>
      </c>
      <c r="B16" s="10"/>
      <c r="C16" s="11"/>
      <c r="D16" s="12"/>
      <c r="E16" s="10"/>
      <c r="F16" s="11"/>
      <c r="G16" s="12"/>
      <c r="H16" s="10"/>
      <c r="I16" s="11"/>
      <c r="J16" s="12"/>
      <c r="K16" s="10"/>
      <c r="L16" s="11"/>
      <c r="M16" s="12"/>
      <c r="N16" s="10"/>
      <c r="O16" s="11"/>
      <c r="P16" s="12"/>
      <c r="S16" s="9"/>
      <c r="T16" s="9"/>
      <c r="U16" s="9"/>
      <c r="V16" s="9"/>
    </row>
    <row r="17">
      <c r="A17" s="9" t="s">
        <v>17</v>
      </c>
      <c r="B17" s="10"/>
      <c r="C17" s="11"/>
      <c r="D17" s="12"/>
      <c r="E17" s="10"/>
      <c r="F17" s="11"/>
      <c r="G17" s="12"/>
      <c r="H17" s="10"/>
      <c r="I17" s="11"/>
      <c r="J17" s="12"/>
      <c r="K17" s="10"/>
      <c r="L17" s="11"/>
      <c r="M17" s="12"/>
      <c r="N17" s="10"/>
      <c r="O17" s="11"/>
      <c r="P17" s="12"/>
      <c r="S17" s="9"/>
      <c r="T17" s="9"/>
      <c r="U17" s="9"/>
      <c r="V17" s="9"/>
    </row>
    <row r="18">
      <c r="A18" s="5" t="s">
        <v>19</v>
      </c>
      <c r="B18" s="6">
        <f>SUM(B19:B24)</f>
      </c>
      <c r="C18" s="7">
        <f>SUM(C19:C24)</f>
      </c>
      <c r="D18" s="8">
        <f>IF(B18&gt;0,C18/B18,"")</f>
      </c>
      <c r="E18" s="6">
        <f>SUM(E19:E24)</f>
      </c>
      <c r="F18" s="7">
        <f>SUM(F19:F24)</f>
      </c>
      <c r="G18" s="8">
        <f>IF(E18&gt;0,F18/E18,"")</f>
      </c>
      <c r="H18" s="6">
        <f>SUM(H19:H24)</f>
      </c>
      <c r="I18" s="7">
        <f>SUM(I19:I24)</f>
      </c>
      <c r="J18" s="8">
        <f>IF(H18&gt;0,I18/H18,"")</f>
      </c>
      <c r="K18" s="6">
        <f>SUM(K19:K24)</f>
      </c>
      <c r="L18" s="7">
        <f>SUM(L19:L24)</f>
      </c>
      <c r="M18" s="8">
        <f>IF(K18&gt;0,L18/K18,"")</f>
      </c>
      <c r="N18" s="6">
        <f>SUM(N19:N24)</f>
      </c>
      <c r="O18" s="7">
        <f>SUM(O19:O24)</f>
      </c>
      <c r="P18" s="8">
        <f>IF(N18&gt;0,O18/N18,"")</f>
      </c>
      <c r="S18" s="14">
        <f>IF(B18&gt;0,C18/B18,"")</f>
      </c>
      <c r="T18" s="14">
        <f>IF(E18&gt;0,F18/E18,"")</f>
      </c>
      <c r="U18" s="14">
        <f>IF((H18+K18)&gt;0,(I18+L18)/(H18+K18),"")</f>
      </c>
      <c r="V18" s="14">
        <f>IF(N18&gt;0,O18/N18,"")</f>
      </c>
    </row>
    <row r="19">
      <c r="A19" s="9" t="s">
        <v>12</v>
      </c>
      <c r="B19" s="10"/>
      <c r="C19" s="11"/>
      <c r="D19" s="12"/>
      <c r="E19" s="10">
        <v>41.04</v>
      </c>
      <c r="F19" s="11">
        <v>3381.46</v>
      </c>
      <c r="G19" s="12">
        <f>IF(E19&gt;0,F19/E19,"")</f>
      </c>
      <c r="H19" s="10">
        <v>21.1</v>
      </c>
      <c r="I19" s="11">
        <v>1607.55</v>
      </c>
      <c r="J19" s="12">
        <f>IF(H19&gt;0,I19/H19,"")</f>
      </c>
      <c r="K19" s="10">
        <v>2.46</v>
      </c>
      <c r="L19" s="11">
        <v>174.59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13</v>
      </c>
      <c r="B20" s="10">
        <v>12.6</v>
      </c>
      <c r="C20" s="11">
        <v>1213.73</v>
      </c>
      <c r="D20" s="12">
        <f>IF(B20&gt;0,C20/B20,"")</f>
      </c>
      <c r="E20" s="10">
        <v>75.06</v>
      </c>
      <c r="F20" s="11">
        <v>6014.07</v>
      </c>
      <c r="G20" s="12">
        <f>IF(E20&gt;0,F20/E20,"")</f>
      </c>
      <c r="H20" s="10">
        <v>32.39</v>
      </c>
      <c r="I20" s="11">
        <v>2434.18</v>
      </c>
      <c r="J20" s="12">
        <f>IF(H20&gt;0,I20/H20,"")</f>
      </c>
      <c r="K20" s="10">
        <v>3.66</v>
      </c>
      <c r="L20" s="11">
        <v>254.06</v>
      </c>
      <c r="M20" s="12">
        <f>IF(K20&gt;0,L20/K20,"")</f>
      </c>
      <c r="N20" s="10"/>
      <c r="O20" s="11"/>
      <c r="P20" s="12"/>
      <c r="S20" s="9"/>
      <c r="T20" s="9"/>
      <c r="U20" s="9"/>
      <c r="V20" s="9"/>
    </row>
    <row r="21">
      <c r="A21" s="9" t="s">
        <v>14</v>
      </c>
      <c r="B21" s="10">
        <v>3.72</v>
      </c>
      <c r="C21" s="11">
        <v>323.64</v>
      </c>
      <c r="D21" s="12">
        <f>IF(B21&gt;0,C21/B21,"")</f>
      </c>
      <c r="E21" s="10">
        <v>24.66</v>
      </c>
      <c r="F21" s="11">
        <v>1999.93</v>
      </c>
      <c r="G21" s="12">
        <f>IF(E21&gt;0,F21/E21,"")</f>
      </c>
      <c r="H21" s="10">
        <v>8.51</v>
      </c>
      <c r="I21" s="11">
        <v>643.72</v>
      </c>
      <c r="J21" s="12">
        <f>IF(H21&gt;0,I21/H21,"")</f>
      </c>
      <c r="K21" s="10">
        <v>1.21</v>
      </c>
      <c r="L21" s="11">
        <v>81.07</v>
      </c>
      <c r="M21" s="12">
        <f>IF(K21&gt;0,L21/K21,"")</f>
      </c>
      <c r="N21" s="10"/>
      <c r="O21" s="11"/>
      <c r="P21" s="12"/>
      <c r="S21" s="9"/>
      <c r="T21" s="9"/>
      <c r="U21" s="9"/>
      <c r="V21" s="9"/>
    </row>
    <row r="22">
      <c r="A22" s="9" t="s">
        <v>15</v>
      </c>
      <c r="B22" s="10"/>
      <c r="C22" s="11"/>
      <c r="D22" s="12"/>
      <c r="E22" s="10">
        <v>7.41</v>
      </c>
      <c r="F22" s="11">
        <v>527.37</v>
      </c>
      <c r="G22" s="12">
        <f>IF(E22&gt;0,F22/E22,"")</f>
      </c>
      <c r="H22" s="10">
        <v>9.81</v>
      </c>
      <c r="I22" s="11">
        <v>674.25</v>
      </c>
      <c r="J22" s="12">
        <f>IF(H22&gt;0,I22/H22,"")</f>
      </c>
      <c r="K22" s="10"/>
      <c r="L22" s="11"/>
      <c r="M22" s="12"/>
      <c r="N22" s="10">
        <v>1.26</v>
      </c>
      <c r="O22" s="11">
        <v>78.32</v>
      </c>
      <c r="P22" s="12">
        <f>IF(N22&gt;0,O22/N22,"")</f>
      </c>
      <c r="S22" s="9"/>
      <c r="T22" s="9"/>
      <c r="U22" s="9"/>
      <c r="V22" s="9"/>
    </row>
    <row r="23">
      <c r="A23" s="9" t="s">
        <v>16</v>
      </c>
      <c r="B23" s="10"/>
      <c r="C23" s="11"/>
      <c r="D23" s="12"/>
      <c r="E23" s="10">
        <v>2.45</v>
      </c>
      <c r="F23" s="11">
        <v>164.5</v>
      </c>
      <c r="G23" s="12">
        <f>IF(E23&gt;0,F23/E23,"")</f>
      </c>
      <c r="H23" s="10">
        <v>3.68</v>
      </c>
      <c r="I23" s="11">
        <v>250.24</v>
      </c>
      <c r="J23" s="12">
        <f>IF(H23&gt;0,I23/H23,"")</f>
      </c>
      <c r="K23" s="10">
        <v>1.21</v>
      </c>
      <c r="L23" s="11">
        <v>81.07</v>
      </c>
      <c r="M23" s="12">
        <f>IF(K23&gt;0,L23/K23,"")</f>
      </c>
      <c r="N23" s="10"/>
      <c r="O23" s="11"/>
      <c r="P23" s="12"/>
      <c r="S23" s="9"/>
      <c r="T23" s="9"/>
      <c r="U23" s="9"/>
      <c r="V23" s="9"/>
    </row>
    <row r="24">
      <c r="A24" s="9" t="s">
        <v>17</v>
      </c>
      <c r="B24" s="10"/>
      <c r="C24" s="11"/>
      <c r="D24" s="12"/>
      <c r="E24" s="10"/>
      <c r="F24" s="11"/>
      <c r="G24" s="12"/>
      <c r="H24" s="10">
        <v>1.27</v>
      </c>
      <c r="I24" s="11">
        <v>85.09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5" t="s">
        <v>20</v>
      </c>
      <c r="B25" s="6">
        <f>SUM(B26:B31)</f>
      </c>
      <c r="C25" s="7">
        <f>SUM(C26:C31)</f>
      </c>
      <c r="D25" s="8">
        <f>IF(B25&gt;0,C25/B25,"")</f>
      </c>
      <c r="E25" s="6">
        <f>SUM(E26:E31)</f>
      </c>
      <c r="F25" s="7">
        <f>SUM(F26:F31)</f>
      </c>
      <c r="G25" s="8">
        <f>IF(E25&gt;0,F25/E25,"")</f>
      </c>
      <c r="H25" s="6">
        <f>SUM(H26:H31)</f>
      </c>
      <c r="I25" s="7">
        <f>SUM(I26:I31)</f>
      </c>
      <c r="J25" s="8">
        <f>IF(H25&gt;0,I25/H25,"")</f>
      </c>
      <c r="K25" s="6">
        <f>SUM(K26:K31)</f>
      </c>
      <c r="L25" s="7">
        <f>SUM(L26:L31)</f>
      </c>
      <c r="M25" s="8">
        <f>IF(K25&gt;0,L25/K25,"")</f>
      </c>
      <c r="N25" s="6">
        <f>SUM(N26:N31)</f>
      </c>
      <c r="O25" s="7">
        <f>SUM(O26:O31)</f>
      </c>
      <c r="P25" s="8">
        <f>IF(N25&gt;0,O25/N25,"")</f>
      </c>
      <c r="S25" s="14">
        <f>IF(B25&gt;0,C25/B25,"")</f>
      </c>
      <c r="T25" s="14">
        <f>IF(E25&gt;0,F25/E25,"")</f>
      </c>
      <c r="U25" s="14">
        <f>IF((H25+K25)&gt;0,(I25+L25)/(H25+K25),"")</f>
      </c>
      <c r="V25" s="14">
        <f>IF(N25&gt;0,O25/N25,"")</f>
      </c>
    </row>
    <row r="26">
      <c r="A26" s="9" t="s">
        <v>12</v>
      </c>
      <c r="B26" s="10"/>
      <c r="C26" s="11"/>
      <c r="D26" s="12"/>
      <c r="E26" s="10"/>
      <c r="F26" s="11"/>
      <c r="G26" s="12"/>
      <c r="H26" s="10">
        <v>1.49</v>
      </c>
      <c r="I26" s="11">
        <v>110.26</v>
      </c>
      <c r="J26" s="12">
        <f>IF(H26&gt;0,I26/H26,"")</f>
      </c>
      <c r="K26" s="10">
        <v>1.4</v>
      </c>
      <c r="L26" s="11">
        <v>161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13</v>
      </c>
      <c r="B27" s="10"/>
      <c r="C27" s="11"/>
      <c r="D27" s="12"/>
      <c r="E27" s="10">
        <v>5.45</v>
      </c>
      <c r="F27" s="11">
        <v>418.93</v>
      </c>
      <c r="G27" s="12">
        <f>IF(E27&gt;0,F27/E27,"")</f>
      </c>
      <c r="H27" s="10">
        <v>4.26</v>
      </c>
      <c r="I27" s="11">
        <v>366.26</v>
      </c>
      <c r="J27" s="12">
        <f>IF(H27&gt;0,I27/H27,"")</f>
      </c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14</v>
      </c>
      <c r="B28" s="10"/>
      <c r="C28" s="11"/>
      <c r="D28" s="12"/>
      <c r="E28" s="10">
        <v>6.56</v>
      </c>
      <c r="F28" s="11">
        <v>502.44</v>
      </c>
      <c r="G28" s="12">
        <f>IF(E28&gt;0,F28/E28,"")</f>
      </c>
      <c r="H28" s="10">
        <v>1.31</v>
      </c>
      <c r="I28" s="11">
        <v>91.7</v>
      </c>
      <c r="J28" s="12">
        <f>IF(H28&gt;0,I28/H28,"")</f>
      </c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15</v>
      </c>
      <c r="B29" s="10"/>
      <c r="C29" s="11"/>
      <c r="D29" s="12"/>
      <c r="E29" s="10">
        <v>1.49</v>
      </c>
      <c r="F29" s="11">
        <v>107.28</v>
      </c>
      <c r="G29" s="12">
        <f>IF(E29&gt;0,F29/E29,"")</f>
      </c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16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9" t="s">
        <v>17</v>
      </c>
      <c r="B31" s="10"/>
      <c r="C31" s="11"/>
      <c r="D31" s="12"/>
      <c r="E31" s="10"/>
      <c r="F31" s="11"/>
      <c r="G31" s="12"/>
      <c r="H31" s="10"/>
      <c r="I31" s="11"/>
      <c r="J31" s="12"/>
      <c r="K31" s="10"/>
      <c r="L31" s="11"/>
      <c r="M31" s="12"/>
      <c r="N31" s="10"/>
      <c r="O31" s="11"/>
      <c r="P31" s="12"/>
      <c r="S31" s="9"/>
      <c r="T31" s="9"/>
      <c r="U31" s="9"/>
      <c r="V31" s="9"/>
    </row>
    <row r="32">
      <c r="A32" s="5" t="s">
        <v>21</v>
      </c>
      <c r="B32" s="6">
        <f>SUM(B33:B38)</f>
      </c>
      <c r="C32" s="7">
        <f>SUM(C33:C38)</f>
      </c>
      <c r="D32" s="8">
        <f>IF(B32&gt;0,C32/B32,"")</f>
      </c>
      <c r="E32" s="6">
        <f>SUM(E33:E38)</f>
      </c>
      <c r="F32" s="7">
        <f>SUM(F33:F38)</f>
      </c>
      <c r="G32" s="8">
        <f>IF(E32&gt;0,F32/E32,"")</f>
      </c>
      <c r="H32" s="6">
        <f>SUM(H33:H38)</f>
      </c>
      <c r="I32" s="7">
        <f>SUM(I33:I38)</f>
      </c>
      <c r="J32" s="8">
        <f>IF(H32&gt;0,I32/H32,"")</f>
      </c>
      <c r="K32" s="6">
        <f>SUM(K33:K38)</f>
      </c>
      <c r="L32" s="7">
        <f>SUM(L33:L38)</f>
      </c>
      <c r="M32" s="8">
        <f>IF(K32&gt;0,L32/K32,"")</f>
      </c>
      <c r="N32" s="6">
        <f>SUM(N33:N38)</f>
      </c>
      <c r="O32" s="7">
        <f>SUM(O33:O38)</f>
      </c>
      <c r="P32" s="8">
        <f>IF(N32&gt;0,O32/N32,"")</f>
      </c>
      <c r="S32" s="14">
        <f>IF(B32&gt;0,C32/B32,"")</f>
      </c>
      <c r="T32" s="14">
        <f>IF(E32&gt;0,F32/E32,"")</f>
      </c>
      <c r="U32" s="14">
        <f>IF((H32+K32)&gt;0,(I32+L32)/(H32+K32),"")</f>
      </c>
      <c r="V32" s="14">
        <f>IF(N32&gt;0,O32/N32,"")</f>
      </c>
    </row>
    <row r="33">
      <c r="A33" s="9" t="s">
        <v>12</v>
      </c>
      <c r="B33" s="10">
        <v>7.53</v>
      </c>
      <c r="C33" s="11">
        <v>852.5</v>
      </c>
      <c r="D33" s="12">
        <f>IF(B33&gt;0,C33/B33,"")</f>
      </c>
      <c r="E33" s="10">
        <v>184.41</v>
      </c>
      <c r="F33" s="11">
        <v>15356.47</v>
      </c>
      <c r="G33" s="12">
        <f>IF(E33&gt;0,F33/E33,"")</f>
      </c>
      <c r="H33" s="10">
        <v>116</v>
      </c>
      <c r="I33" s="11">
        <v>8761.94</v>
      </c>
      <c r="J33" s="12">
        <f>IF(H33&gt;0,I33/H33,"")</f>
      </c>
      <c r="K33" s="10">
        <v>31.74</v>
      </c>
      <c r="L33" s="11">
        <v>2235.3</v>
      </c>
      <c r="M33" s="12">
        <f>IF(K33&gt;0,L33/K33,"")</f>
      </c>
      <c r="N33" s="10">
        <v>1.51</v>
      </c>
      <c r="O33" s="11">
        <v>123.82</v>
      </c>
      <c r="P33" s="12">
        <f>IF(N33&gt;0,O33/N33,"")</f>
      </c>
      <c r="S33" s="9"/>
      <c r="T33" s="9"/>
      <c r="U33" s="9"/>
      <c r="V33" s="9"/>
    </row>
    <row r="34">
      <c r="A34" s="9" t="s">
        <v>13</v>
      </c>
      <c r="B34" s="10">
        <v>16.85</v>
      </c>
      <c r="C34" s="11">
        <v>1794.62</v>
      </c>
      <c r="D34" s="12">
        <f>IF(B34&gt;0,C34/B34,"")</f>
      </c>
      <c r="E34" s="10">
        <v>320.7</v>
      </c>
      <c r="F34" s="11">
        <v>26415.43</v>
      </c>
      <c r="G34" s="12">
        <f>IF(E34&gt;0,F34/E34,"")</f>
      </c>
      <c r="H34" s="10">
        <v>148.16</v>
      </c>
      <c r="I34" s="11">
        <v>11077.99</v>
      </c>
      <c r="J34" s="12">
        <f>IF(H34&gt;0,I34/H34,"")</f>
      </c>
      <c r="K34" s="10">
        <v>22.87</v>
      </c>
      <c r="L34" s="11">
        <v>1619.07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14</v>
      </c>
      <c r="B35" s="10">
        <v>4.56</v>
      </c>
      <c r="C35" s="11">
        <v>453.12</v>
      </c>
      <c r="D35" s="12">
        <f>IF(B35&gt;0,C35/B35,"")</f>
      </c>
      <c r="E35" s="10">
        <v>228.48</v>
      </c>
      <c r="F35" s="11">
        <v>17965.63</v>
      </c>
      <c r="G35" s="12">
        <f>IF(E35&gt;0,F35/E35,"")</f>
      </c>
      <c r="H35" s="10">
        <v>137.36</v>
      </c>
      <c r="I35" s="11">
        <v>10317.4</v>
      </c>
      <c r="J35" s="12">
        <f>IF(H35&gt;0,I35/H35,"")</f>
      </c>
      <c r="K35" s="10">
        <v>34.8</v>
      </c>
      <c r="L35" s="11">
        <v>2473.88</v>
      </c>
      <c r="M35" s="12">
        <f>IF(K35&gt;0,L35/K35,"")</f>
      </c>
      <c r="N35" s="10"/>
      <c r="O35" s="11"/>
      <c r="P35" s="12"/>
      <c r="S35" s="9"/>
      <c r="T35" s="9"/>
      <c r="U35" s="9"/>
      <c r="V35" s="9"/>
    </row>
    <row r="36">
      <c r="A36" s="9" t="s">
        <v>15</v>
      </c>
      <c r="B36" s="10"/>
      <c r="C36" s="11"/>
      <c r="D36" s="12"/>
      <c r="E36" s="10">
        <v>29.3</v>
      </c>
      <c r="F36" s="11">
        <v>2131.77</v>
      </c>
      <c r="G36" s="12">
        <f>IF(E36&gt;0,F36/E36,"")</f>
      </c>
      <c r="H36" s="10">
        <v>10.91</v>
      </c>
      <c r="I36" s="11">
        <v>778.82</v>
      </c>
      <c r="J36" s="12">
        <f>IF(H36&gt;0,I36/H36,"")</f>
      </c>
      <c r="K36" s="10">
        <v>3.02</v>
      </c>
      <c r="L36" s="11">
        <v>217.44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16</v>
      </c>
      <c r="B37" s="10"/>
      <c r="C37" s="11"/>
      <c r="D37" s="12"/>
      <c r="E37" s="10">
        <v>14.03</v>
      </c>
      <c r="F37" s="11">
        <v>1000.16</v>
      </c>
      <c r="G37" s="12">
        <f>IF(E37&gt;0,F37/E37,"")</f>
      </c>
      <c r="H37" s="10"/>
      <c r="I37" s="11"/>
      <c r="J37" s="12"/>
      <c r="K37" s="10"/>
      <c r="L37" s="11"/>
      <c r="M37" s="12"/>
      <c r="N37" s="10"/>
      <c r="O37" s="11"/>
      <c r="P37" s="12"/>
      <c r="S37" s="9"/>
      <c r="T37" s="9"/>
      <c r="U37" s="9"/>
      <c r="V37" s="9"/>
    </row>
    <row r="38">
      <c r="A38" s="9" t="s">
        <v>17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5" t="s">
        <v>22</v>
      </c>
      <c r="B39" s="6">
        <f>SUM(B40:B45)</f>
      </c>
      <c r="C39" s="7">
        <f>SUM(C40:C45)</f>
      </c>
      <c r="D39" s="8">
        <f>IF(B39&gt;0,C39/B39,"")</f>
      </c>
      <c r="E39" s="6">
        <f>SUM(E40:E45)</f>
      </c>
      <c r="F39" s="7">
        <f>SUM(F40:F45)</f>
      </c>
      <c r="G39" s="8">
        <f>IF(E39&gt;0,F39/E39,"")</f>
      </c>
      <c r="H39" s="6">
        <f>SUM(H40:H45)</f>
      </c>
      <c r="I39" s="7">
        <f>SUM(I40:I45)</f>
      </c>
      <c r="J39" s="8">
        <f>IF(H39&gt;0,I39/H39,"")</f>
      </c>
      <c r="K39" s="6">
        <f>SUM(K40:K45)</f>
      </c>
      <c r="L39" s="7">
        <f>SUM(L40:L45)</f>
      </c>
      <c r="M39" s="8">
        <f>IF(K39&gt;0,L39/K39,"")</f>
      </c>
      <c r="N39" s="6">
        <f>SUM(N40:N45)</f>
      </c>
      <c r="O39" s="7">
        <f>SUM(O40:O45)</f>
      </c>
      <c r="P39" s="8">
        <f>IF(N39&gt;0,O39/N39,"")</f>
      </c>
      <c r="S39" s="14">
        <f>IF(B39&gt;0,C39/B39,"")</f>
      </c>
      <c r="T39" s="14">
        <f>IF(E39&gt;0,F39/E39,"")</f>
      </c>
      <c r="U39" s="14">
        <f>IF((H39+K39)&gt;0,(I39+L39)/(H39+K39),"")</f>
      </c>
      <c r="V39" s="14">
        <f>IF(N39&gt;0,O39/N39,"")</f>
      </c>
    </row>
    <row r="40">
      <c r="A40" s="9" t="s">
        <v>12</v>
      </c>
      <c r="B40" s="10"/>
      <c r="C40" s="11"/>
      <c r="D40" s="12"/>
      <c r="E40" s="10"/>
      <c r="F40" s="11"/>
      <c r="G40" s="12"/>
      <c r="H40" s="10"/>
      <c r="I40" s="11"/>
      <c r="J40" s="12"/>
      <c r="K40" s="10"/>
      <c r="L40" s="11"/>
      <c r="M40" s="12"/>
      <c r="N40" s="10"/>
      <c r="O40" s="11"/>
      <c r="P40" s="12"/>
      <c r="S40" s="9"/>
      <c r="T40" s="9"/>
      <c r="U40" s="9"/>
      <c r="V40" s="9"/>
    </row>
    <row r="41">
      <c r="A41" s="9" t="s">
        <v>13</v>
      </c>
      <c r="B41" s="10"/>
      <c r="C41" s="11"/>
      <c r="D41" s="12"/>
      <c r="E41" s="10"/>
      <c r="F41" s="11"/>
      <c r="G41" s="12"/>
      <c r="H41" s="10"/>
      <c r="I41" s="11"/>
      <c r="J41" s="12"/>
      <c r="K41" s="10"/>
      <c r="L41" s="11"/>
      <c r="M41" s="12"/>
      <c r="N41" s="10"/>
      <c r="O41" s="11"/>
      <c r="P41" s="12"/>
      <c r="S41" s="9"/>
      <c r="T41" s="9"/>
      <c r="U41" s="9"/>
      <c r="V41" s="9"/>
    </row>
    <row r="42">
      <c r="A42" s="9" t="s">
        <v>14</v>
      </c>
      <c r="B42" s="10"/>
      <c r="C42" s="11"/>
      <c r="D42" s="12"/>
      <c r="E42" s="10">
        <v>3.28</v>
      </c>
      <c r="F42" s="11">
        <v>322.95</v>
      </c>
      <c r="G42" s="12">
        <f>IF(E42&gt;0,F42/E42,"")</f>
      </c>
      <c r="H42" s="10"/>
      <c r="I42" s="11"/>
      <c r="J42" s="12"/>
      <c r="K42" s="10"/>
      <c r="L42" s="11"/>
      <c r="M42" s="12"/>
      <c r="N42" s="10"/>
      <c r="O42" s="11"/>
      <c r="P42" s="12"/>
      <c r="S42" s="9"/>
      <c r="T42" s="9"/>
      <c r="U42" s="9"/>
      <c r="V42" s="9"/>
    </row>
    <row r="43">
      <c r="A43" s="9" t="s">
        <v>15</v>
      </c>
      <c r="B43" s="10"/>
      <c r="C43" s="11"/>
      <c r="D43" s="12"/>
      <c r="E43" s="10"/>
      <c r="F43" s="11"/>
      <c r="G43" s="12"/>
      <c r="H43" s="10"/>
      <c r="I43" s="11"/>
      <c r="J43" s="12"/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16</v>
      </c>
      <c r="B44" s="10"/>
      <c r="C44" s="11"/>
      <c r="D44" s="12"/>
      <c r="E44" s="10"/>
      <c r="F44" s="11"/>
      <c r="G44" s="12"/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17</v>
      </c>
      <c r="B45" s="10"/>
      <c r="C45" s="11"/>
      <c r="D45" s="12"/>
      <c r="E45" s="10"/>
      <c r="F45" s="11"/>
      <c r="G45" s="12"/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5" t="s">
        <v>23</v>
      </c>
      <c r="B46" s="6">
        <f>SUM(B47:B52)</f>
      </c>
      <c r="C46" s="7">
        <f>SUM(C47:C52)</f>
      </c>
      <c r="D46" s="8">
        <f>IF(B46&gt;0,C46/B46,"")</f>
      </c>
      <c r="E46" s="6">
        <f>SUM(E47:E52)</f>
      </c>
      <c r="F46" s="7">
        <f>SUM(F47:F52)</f>
      </c>
      <c r="G46" s="8">
        <f>IF(E46&gt;0,F46/E46,"")</f>
      </c>
      <c r="H46" s="6">
        <f>SUM(H47:H52)</f>
      </c>
      <c r="I46" s="7">
        <f>SUM(I47:I52)</f>
      </c>
      <c r="J46" s="8">
        <f>IF(H46&gt;0,I46/H46,"")</f>
      </c>
      <c r="K46" s="6">
        <f>SUM(K47:K52)</f>
      </c>
      <c r="L46" s="7">
        <f>SUM(L47:L52)</f>
      </c>
      <c r="M46" s="8">
        <f>IF(K46&gt;0,L46/K46,"")</f>
      </c>
      <c r="N46" s="6">
        <f>SUM(N47:N52)</f>
      </c>
      <c r="O46" s="7">
        <f>SUM(O47:O52)</f>
      </c>
      <c r="P46" s="8">
        <f>IF(N46&gt;0,O46/N46,"")</f>
      </c>
      <c r="S46" s="14">
        <f>IF(B46&gt;0,C46/B46,"")</f>
      </c>
      <c r="T46" s="14">
        <f>IF(E46&gt;0,F46/E46,"")</f>
      </c>
      <c r="U46" s="14">
        <f>IF((H46+K46)&gt;0,(I46+L46)/(H46+K46),"")</f>
      </c>
      <c r="V46" s="14">
        <f>IF(N46&gt;0,O46/N46,"")</f>
      </c>
    </row>
    <row r="47">
      <c r="A47" s="9" t="s">
        <v>12</v>
      </c>
      <c r="B47" s="10">
        <v>2.04</v>
      </c>
      <c r="C47" s="11">
        <v>267.44</v>
      </c>
      <c r="D47" s="12">
        <f>IF(B47&gt;0,C47/B47,"")</f>
      </c>
      <c r="E47" s="10">
        <v>28.48</v>
      </c>
      <c r="F47" s="11">
        <v>2716.09</v>
      </c>
      <c r="G47" s="12">
        <f>IF(E47&gt;0,F47/E47,"")</f>
      </c>
      <c r="H47" s="10">
        <v>34.32</v>
      </c>
      <c r="I47" s="11">
        <v>3194.47</v>
      </c>
      <c r="J47" s="12">
        <f>IF(H47&gt;0,I47/H47,"")</f>
      </c>
      <c r="K47" s="10">
        <v>6.07</v>
      </c>
      <c r="L47" s="11">
        <v>437.04</v>
      </c>
      <c r="M47" s="12">
        <f>IF(K47&gt;0,L47/K47,"")</f>
      </c>
      <c r="N47" s="10"/>
      <c r="O47" s="11"/>
      <c r="P47" s="12"/>
      <c r="S47" s="9"/>
      <c r="T47" s="9"/>
      <c r="U47" s="9"/>
      <c r="V47" s="9"/>
    </row>
    <row r="48">
      <c r="A48" s="9" t="s">
        <v>13</v>
      </c>
      <c r="B48" s="10">
        <v>8.15</v>
      </c>
      <c r="C48" s="11">
        <v>910.14</v>
      </c>
      <c r="D48" s="12">
        <f>IF(B48&gt;0,C48/B48,"")</f>
      </c>
      <c r="E48" s="10">
        <v>81.58</v>
      </c>
      <c r="F48" s="11">
        <v>6830.63</v>
      </c>
      <c r="G48" s="12">
        <f>IF(E48&gt;0,F48/E48,"")</f>
      </c>
      <c r="H48" s="10">
        <v>50.69</v>
      </c>
      <c r="I48" s="11">
        <v>4299.88</v>
      </c>
      <c r="J48" s="12">
        <f>IF(H48&gt;0,I48/H48,"")</f>
      </c>
      <c r="K48" s="10">
        <v>10.05</v>
      </c>
      <c r="L48" s="11">
        <v>703.5</v>
      </c>
      <c r="M48" s="12">
        <f>IF(K48&gt;0,L48/K48,"")</f>
      </c>
      <c r="N48" s="10"/>
      <c r="O48" s="11"/>
      <c r="P48" s="12"/>
      <c r="S48" s="9"/>
      <c r="T48" s="9"/>
      <c r="U48" s="9"/>
      <c r="V48" s="9"/>
    </row>
    <row r="49">
      <c r="A49" s="9" t="s">
        <v>14</v>
      </c>
      <c r="B49" s="10">
        <v>4.04</v>
      </c>
      <c r="C49" s="11">
        <v>464.6</v>
      </c>
      <c r="D49" s="12">
        <f>IF(B49&gt;0,C49/B49,"")</f>
      </c>
      <c r="E49" s="10">
        <v>89.3</v>
      </c>
      <c r="F49" s="11">
        <v>7060.75</v>
      </c>
      <c r="G49" s="12">
        <f>IF(E49&gt;0,F49/E49,"")</f>
      </c>
      <c r="H49" s="10">
        <v>105.54</v>
      </c>
      <c r="I49" s="11">
        <v>8390.94</v>
      </c>
      <c r="J49" s="12">
        <f>IF(H49&gt;0,I49/H49,"")</f>
      </c>
      <c r="K49" s="10">
        <v>10.11</v>
      </c>
      <c r="L49" s="11">
        <v>768.68</v>
      </c>
      <c r="M49" s="12">
        <f>IF(K49&gt;0,L49/K49,"")</f>
      </c>
      <c r="N49" s="10">
        <v>2</v>
      </c>
      <c r="O49" s="11">
        <v>142</v>
      </c>
      <c r="P49" s="12">
        <f>IF(N49&gt;0,O49/N49,"")</f>
      </c>
      <c r="S49" s="9"/>
      <c r="T49" s="9"/>
      <c r="U49" s="9"/>
      <c r="V49" s="9"/>
    </row>
    <row r="50">
      <c r="A50" s="9" t="s">
        <v>15</v>
      </c>
      <c r="B50" s="10"/>
      <c r="C50" s="11"/>
      <c r="D50" s="12"/>
      <c r="E50" s="10">
        <v>8.19</v>
      </c>
      <c r="F50" s="11">
        <v>600.48</v>
      </c>
      <c r="G50" s="12">
        <f>IF(E50&gt;0,F50/E50,"")</f>
      </c>
      <c r="H50" s="10">
        <v>22.4</v>
      </c>
      <c r="I50" s="11">
        <v>1808.48</v>
      </c>
      <c r="J50" s="12">
        <f>IF(H50&gt;0,I50/H50,"")</f>
      </c>
      <c r="K50" s="10">
        <v>4.02</v>
      </c>
      <c r="L50" s="11">
        <v>318.41</v>
      </c>
      <c r="M50" s="12">
        <f>IF(K50&gt;0,L50/K50,"")</f>
      </c>
      <c r="N50" s="10">
        <v>2.01</v>
      </c>
      <c r="O50" s="11">
        <v>136.68</v>
      </c>
      <c r="P50" s="12">
        <f>IF(N50&gt;0,O50/N50,"")</f>
      </c>
      <c r="S50" s="9"/>
      <c r="T50" s="9"/>
      <c r="U50" s="9"/>
      <c r="V50" s="9"/>
    </row>
    <row r="51">
      <c r="A51" s="9" t="s">
        <v>16</v>
      </c>
      <c r="B51" s="10">
        <v>4.05</v>
      </c>
      <c r="C51" s="11">
        <v>421.9</v>
      </c>
      <c r="D51" s="12">
        <f>IF(B51&gt;0,C51/B51,"")</f>
      </c>
      <c r="E51" s="10">
        <v>4.1</v>
      </c>
      <c r="F51" s="11">
        <v>293.29</v>
      </c>
      <c r="G51" s="12">
        <f>IF(E51&gt;0,F51/E51,"")</f>
      </c>
      <c r="H51" s="10"/>
      <c r="I51" s="11"/>
      <c r="J51" s="12"/>
      <c r="K51" s="10"/>
      <c r="L51" s="11"/>
      <c r="M51" s="12"/>
      <c r="N51" s="10"/>
      <c r="O51" s="11"/>
      <c r="P51" s="12"/>
      <c r="S51" s="9"/>
      <c r="T51" s="9"/>
      <c r="U51" s="9"/>
      <c r="V51" s="9"/>
    </row>
    <row r="52">
      <c r="A52" s="9" t="s">
        <v>17</v>
      </c>
      <c r="B52" s="10"/>
      <c r="C52" s="11"/>
      <c r="D52" s="12"/>
      <c r="E52" s="10"/>
      <c r="F52" s="11"/>
      <c r="G52" s="12"/>
      <c r="H52" s="10"/>
      <c r="I52" s="11"/>
      <c r="J52" s="12"/>
      <c r="K52" s="10"/>
      <c r="L52" s="11"/>
      <c r="M52" s="12"/>
      <c r="N52" s="10"/>
      <c r="O52" s="11"/>
      <c r="P52" s="12"/>
      <c r="S52" s="9"/>
      <c r="T52" s="9"/>
      <c r="U52" s="9"/>
      <c r="V52" s="9"/>
    </row>
    <row r="53">
      <c r="A53" s="5" t="s">
        <v>24</v>
      </c>
      <c r="B53" s="6">
        <f>SUM(B54:B59)</f>
      </c>
      <c r="C53" s="7">
        <f>SUM(C54:C59)</f>
      </c>
      <c r="D53" s="8">
        <f>IF(B53&gt;0,C53/B53,"")</f>
      </c>
      <c r="E53" s="6">
        <f>SUM(E54:E59)</f>
      </c>
      <c r="F53" s="7">
        <f>SUM(F54:F59)</f>
      </c>
      <c r="G53" s="8">
        <f>IF(E53&gt;0,F53/E53,"")</f>
      </c>
      <c r="H53" s="6">
        <f>SUM(H54:H59)</f>
      </c>
      <c r="I53" s="7">
        <f>SUM(I54:I59)</f>
      </c>
      <c r="J53" s="8">
        <f>IF(H53&gt;0,I53/H53,"")</f>
      </c>
      <c r="K53" s="6">
        <f>SUM(K54:K59)</f>
      </c>
      <c r="L53" s="7">
        <f>SUM(L54:L59)</f>
      </c>
      <c r="M53" s="8">
        <f>IF(K53&gt;0,L53/K53,"")</f>
      </c>
      <c r="N53" s="6">
        <f>SUM(N54:N59)</f>
      </c>
      <c r="O53" s="7">
        <f>SUM(O54:O59)</f>
      </c>
      <c r="P53" s="8">
        <f>IF(N53&gt;0,O53/N53,"")</f>
      </c>
      <c r="S53" s="14">
        <f>IF(B53&gt;0,C53/B53,"")</f>
      </c>
      <c r="T53" s="14">
        <f>IF(E53&gt;0,F53/E53,"")</f>
      </c>
      <c r="U53" s="14">
        <f>IF((H53+K53)&gt;0,(I53+L53)/(H53+K53),"")</f>
      </c>
      <c r="V53" s="14">
        <f>IF(N53&gt;0,O53/N53,"")</f>
      </c>
    </row>
    <row r="54">
      <c r="A54" s="9" t="s">
        <v>12</v>
      </c>
      <c r="B54" s="10"/>
      <c r="C54" s="11"/>
      <c r="D54" s="12"/>
      <c r="E54" s="10"/>
      <c r="F54" s="11"/>
      <c r="G54" s="12"/>
      <c r="H54" s="10">
        <v>2.3</v>
      </c>
      <c r="I54" s="11">
        <v>149.5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13</v>
      </c>
      <c r="B55" s="10"/>
      <c r="C55" s="11"/>
      <c r="D55" s="12"/>
      <c r="E55" s="10"/>
      <c r="F55" s="11"/>
      <c r="G55" s="12"/>
      <c r="H55" s="10">
        <v>2.4</v>
      </c>
      <c r="I55" s="11">
        <v>244.8</v>
      </c>
      <c r="J55" s="12">
        <f>IF(H55&gt;0,I55/H55,"")</f>
      </c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14</v>
      </c>
      <c r="B56" s="10"/>
      <c r="C56" s="11"/>
      <c r="D56" s="12"/>
      <c r="E56" s="10">
        <v>2.31</v>
      </c>
      <c r="F56" s="11">
        <v>189.42</v>
      </c>
      <c r="G56" s="12">
        <f>IF(E56&gt;0,F56/E56,"")</f>
      </c>
      <c r="H56" s="10">
        <v>2.36</v>
      </c>
      <c r="I56" s="11">
        <v>259.6</v>
      </c>
      <c r="J56" s="12">
        <f>IF(H56&gt;0,I56/H56,"")</f>
      </c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15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9" t="s">
        <v>16</v>
      </c>
      <c r="B58" s="10"/>
      <c r="C58" s="11"/>
      <c r="D58" s="12"/>
      <c r="E58" s="10"/>
      <c r="F58" s="11"/>
      <c r="G58" s="12"/>
      <c r="H58" s="10"/>
      <c r="I58" s="11"/>
      <c r="J58" s="12"/>
      <c r="K58" s="10"/>
      <c r="L58" s="11"/>
      <c r="M58" s="12"/>
      <c r="N58" s="10"/>
      <c r="O58" s="11"/>
      <c r="P58" s="12"/>
      <c r="S58" s="9"/>
      <c r="T58" s="9"/>
      <c r="U58" s="9"/>
      <c r="V58" s="9"/>
    </row>
    <row r="59">
      <c r="A59" s="9" t="s">
        <v>17</v>
      </c>
      <c r="B59" s="10"/>
      <c r="C59" s="11"/>
      <c r="D59" s="12"/>
      <c r="E59" s="10"/>
      <c r="F59" s="11"/>
      <c r="G59" s="12"/>
      <c r="H59" s="10"/>
      <c r="I59" s="11"/>
      <c r="J59" s="12"/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5" t="s">
        <v>25</v>
      </c>
      <c r="B60" s="6">
        <f>SUM(B61:B66)</f>
      </c>
      <c r="C60" s="7">
        <f>SUM(C61:C66)</f>
      </c>
      <c r="D60" s="8">
        <f>IF(B60&gt;0,C60/B60,"")</f>
      </c>
      <c r="E60" s="6">
        <f>SUM(E61:E66)</f>
      </c>
      <c r="F60" s="7">
        <f>SUM(F61:F66)</f>
      </c>
      <c r="G60" s="8">
        <f>IF(E60&gt;0,F60/E60,"")</f>
      </c>
      <c r="H60" s="6">
        <f>SUM(H61:H66)</f>
      </c>
      <c r="I60" s="7">
        <f>SUM(I61:I66)</f>
      </c>
      <c r="J60" s="8">
        <f>IF(H60&gt;0,I60/H60,"")</f>
      </c>
      <c r="K60" s="6">
        <f>SUM(K61:K66)</f>
      </c>
      <c r="L60" s="7">
        <f>SUM(L61:L66)</f>
      </c>
      <c r="M60" s="8">
        <f>IF(K60&gt;0,L60/K60,"")</f>
      </c>
      <c r="N60" s="6">
        <f>SUM(N61:N66)</f>
      </c>
      <c r="O60" s="7">
        <f>SUM(O61:O66)</f>
      </c>
      <c r="P60" s="8">
        <f>IF(N60&gt;0,O60/N60,"")</f>
      </c>
      <c r="S60" s="14">
        <f>IF(B60&gt;0,C60/B60,"")</f>
      </c>
      <c r="T60" s="14">
        <f>IF(E60&gt;0,F60/E60,"")</f>
      </c>
      <c r="U60" s="14">
        <f>IF((H60+K60)&gt;0,(I60+L60)/(H60+K60),"")</f>
      </c>
      <c r="V60" s="14">
        <f>IF(N60&gt;0,O60/N60,"")</f>
      </c>
    </row>
    <row r="61">
      <c r="A61" s="9" t="s">
        <v>12</v>
      </c>
      <c r="B61" s="10"/>
      <c r="C61" s="11"/>
      <c r="D61" s="12"/>
      <c r="E61" s="10">
        <v>5.01</v>
      </c>
      <c r="F61" s="11">
        <v>455.91</v>
      </c>
      <c r="G61" s="12">
        <f>IF(E61&gt;0,F61/E61,"")</f>
      </c>
      <c r="H61" s="10">
        <v>5.01</v>
      </c>
      <c r="I61" s="11">
        <v>395.79</v>
      </c>
      <c r="J61" s="12">
        <f>IF(H61&gt;0,I61/H61,"")</f>
      </c>
      <c r="K61" s="10"/>
      <c r="L61" s="11"/>
      <c r="M61" s="12"/>
      <c r="N61" s="10"/>
      <c r="O61" s="11"/>
      <c r="P61" s="12"/>
      <c r="S61" s="9"/>
      <c r="T61" s="9"/>
      <c r="U61" s="9"/>
      <c r="V61" s="9"/>
    </row>
    <row r="62">
      <c r="A62" s="9" t="s">
        <v>13</v>
      </c>
      <c r="B62" s="10"/>
      <c r="C62" s="11"/>
      <c r="D62" s="12"/>
      <c r="E62" s="10">
        <v>15.21</v>
      </c>
      <c r="F62" s="11">
        <v>1208.88</v>
      </c>
      <c r="G62" s="12">
        <f>IF(E62&gt;0,F62/E62,"")</f>
      </c>
      <c r="H62" s="10">
        <v>2.59</v>
      </c>
      <c r="I62" s="11">
        <v>217.56</v>
      </c>
      <c r="J62" s="12">
        <f>IF(H62&gt;0,I62/H62,"")</f>
      </c>
      <c r="K62" s="10">
        <v>2.5</v>
      </c>
      <c r="L62" s="11">
        <v>175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14</v>
      </c>
      <c r="B63" s="10">
        <v>2.53</v>
      </c>
      <c r="C63" s="11">
        <v>296.01</v>
      </c>
      <c r="D63" s="12">
        <f>IF(B63&gt;0,C63/B63,"")</f>
      </c>
      <c r="E63" s="10">
        <v>12.62</v>
      </c>
      <c r="F63" s="11">
        <v>982.43</v>
      </c>
      <c r="G63" s="12">
        <f>IF(E63&gt;0,F63/E63,"")</f>
      </c>
      <c r="H63" s="10">
        <v>10.14</v>
      </c>
      <c r="I63" s="11">
        <v>781.62</v>
      </c>
      <c r="J63" s="12">
        <f>IF(H63&gt;0,I63/H63,"")</f>
      </c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15</v>
      </c>
      <c r="B64" s="10"/>
      <c r="C64" s="11"/>
      <c r="D64" s="12"/>
      <c r="E64" s="10"/>
      <c r="F64" s="11"/>
      <c r="G64" s="12"/>
      <c r="H64" s="10">
        <v>2.6</v>
      </c>
      <c r="I64" s="11">
        <v>156</v>
      </c>
      <c r="J64" s="12">
        <f>IF(H64&gt;0,I64/H64,"")</f>
      </c>
      <c r="K64" s="10">
        <v>2.56</v>
      </c>
      <c r="L64" s="11">
        <v>166.4</v>
      </c>
      <c r="M64" s="12">
        <f>IF(K64&gt;0,L64/K64,"")</f>
      </c>
      <c r="N64" s="10"/>
      <c r="O64" s="11"/>
      <c r="P64" s="12"/>
      <c r="S64" s="9"/>
      <c r="T64" s="9"/>
      <c r="U64" s="9"/>
      <c r="V64" s="9"/>
    </row>
    <row r="65">
      <c r="A65" s="9" t="s">
        <v>16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17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SUM(B68:B73)</f>
      </c>
      <c r="C67" s="7">
        <f>SUM(C68:C73)</f>
      </c>
      <c r="D67" s="8">
        <f>IF(B67&gt;0,C67/B67,"")</f>
      </c>
      <c r="E67" s="6">
        <f>SUM(E68:E73)</f>
      </c>
      <c r="F67" s="7">
        <f>SUM(F68:F73)</f>
      </c>
      <c r="G67" s="8">
        <f>IF(E67&gt;0,F67/E67,"")</f>
      </c>
      <c r="H67" s="6">
        <f>SUM(H68:H73)</f>
      </c>
      <c r="I67" s="7">
        <f>SUM(I68:I73)</f>
      </c>
      <c r="J67" s="8">
        <f>IF(H67&gt;0,I67/H67,"")</f>
      </c>
      <c r="K67" s="6">
        <f>SUM(K68:K73)</f>
      </c>
      <c r="L67" s="7">
        <f>SUM(L68:L73)</f>
      </c>
      <c r="M67" s="8">
        <f>IF(K67&gt;0,L67/K67,"")</f>
      </c>
      <c r="N67" s="6">
        <f>SUM(N68:N73)</f>
      </c>
      <c r="O67" s="7">
        <f>SUM(O68:O73)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>
        <v>2.61</v>
      </c>
      <c r="F68" s="11">
        <v>245.34</v>
      </c>
      <c r="G68" s="12">
        <f>IF(E68&gt;0,F68/E68,"")</f>
      </c>
      <c r="H68" s="10"/>
      <c r="I68" s="11"/>
      <c r="J68" s="12"/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/>
      <c r="F71" s="11"/>
      <c r="G71" s="12"/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/>
      <c r="F72" s="11"/>
      <c r="G72" s="12"/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5" t="s">
        <v>27</v>
      </c>
      <c r="B74" s="6">
        <f>SUM(B75:B80)</f>
      </c>
      <c r="C74" s="7">
        <f>SUM(C75:C80)</f>
      </c>
      <c r="D74" s="8">
        <f>IF(B74&gt;0,C74/B74,"")</f>
      </c>
      <c r="E74" s="6">
        <f>SUM(E75:E80)</f>
      </c>
      <c r="F74" s="7">
        <f>SUM(F75:F80)</f>
      </c>
      <c r="G74" s="8">
        <f>IF(E74&gt;0,F74/E74,"")</f>
      </c>
      <c r="H74" s="6">
        <f>SUM(H75:H80)</f>
      </c>
      <c r="I74" s="7">
        <f>SUM(I75:I80)</f>
      </c>
      <c r="J74" s="8">
        <f>IF(H74&gt;0,I74/H74,"")</f>
      </c>
      <c r="K74" s="6">
        <f>SUM(K75:K80)</f>
      </c>
      <c r="L74" s="7">
        <f>SUM(L75:L80)</f>
      </c>
      <c r="M74" s="8">
        <f>IF(K74&gt;0,L74/K74,"")</f>
      </c>
      <c r="N74" s="6">
        <f>SUM(N75:N80)</f>
      </c>
      <c r="O74" s="7">
        <f>SUM(O75:O80)</f>
      </c>
      <c r="P74" s="8">
        <f>IF(N74&gt;0,O74/N74,"")</f>
      </c>
      <c r="S74" s="14">
        <f>IF(B74&gt;0,C74/B74,"")</f>
      </c>
      <c r="T74" s="14">
        <f>IF(E74&gt;0,F74/E74,"")</f>
      </c>
      <c r="U74" s="14">
        <f>IF((H74+K74)&gt;0,(I74+L74)/(H74+K74),"")</f>
      </c>
      <c r="V74" s="14">
        <f>IF(N74&gt;0,O74/N74,"")</f>
      </c>
    </row>
    <row r="75">
      <c r="A75" s="9" t="s">
        <v>12</v>
      </c>
      <c r="B75" s="10"/>
      <c r="C75" s="11"/>
      <c r="D75" s="12"/>
      <c r="E75" s="10">
        <v>6.15</v>
      </c>
      <c r="F75" s="11">
        <v>639.6</v>
      </c>
      <c r="G75" s="12">
        <f>IF(E75&gt;0,F75/E75,"")</f>
      </c>
      <c r="H75" s="10">
        <v>3.05</v>
      </c>
      <c r="I75" s="11">
        <v>298.9</v>
      </c>
      <c r="J75" s="12">
        <f>IF(H75&gt;0,I75/H75,"")</f>
      </c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9" t="s">
        <v>13</v>
      </c>
      <c r="B76" s="10"/>
      <c r="C76" s="11"/>
      <c r="D76" s="12"/>
      <c r="E76" s="10">
        <v>12.16</v>
      </c>
      <c r="F76" s="11">
        <v>1420.79</v>
      </c>
      <c r="G76" s="12">
        <f>IF(E76&gt;0,F76/E76,"")</f>
      </c>
      <c r="H76" s="10">
        <v>70.71</v>
      </c>
      <c r="I76" s="11">
        <v>6326.61</v>
      </c>
      <c r="J76" s="12">
        <f>IF(H76&gt;0,I76/H76,"")</f>
      </c>
      <c r="K76" s="10">
        <v>3.09</v>
      </c>
      <c r="L76" s="11">
        <v>386.25</v>
      </c>
      <c r="M76" s="12">
        <f>IF(K76&gt;0,L76/K76,"")</f>
      </c>
      <c r="N76" s="10"/>
      <c r="O76" s="11"/>
      <c r="P76" s="12"/>
      <c r="S76" s="9"/>
      <c r="T76" s="9"/>
      <c r="U76" s="9"/>
      <c r="V76" s="9"/>
    </row>
    <row r="77">
      <c r="A77" s="9" t="s">
        <v>14</v>
      </c>
      <c r="B77" s="10"/>
      <c r="C77" s="11"/>
      <c r="D77" s="12"/>
      <c r="E77" s="10">
        <v>18.15</v>
      </c>
      <c r="F77" s="11">
        <v>1385.65</v>
      </c>
      <c r="G77" s="12">
        <f>IF(E77&gt;0,F77/E77,"")</f>
      </c>
      <c r="H77" s="10">
        <v>21.31</v>
      </c>
      <c r="I77" s="11">
        <v>2157.97</v>
      </c>
      <c r="J77" s="12">
        <f>IF(H77&gt;0,I77/H77,"")</f>
      </c>
      <c r="K77" s="10">
        <v>3.09</v>
      </c>
      <c r="L77" s="11">
        <v>386.25</v>
      </c>
      <c r="M77" s="12">
        <f>IF(K77&gt;0,L77/K77,"")</f>
      </c>
      <c r="N77" s="10"/>
      <c r="O77" s="11"/>
      <c r="P77" s="12"/>
      <c r="S77" s="9"/>
      <c r="T77" s="9"/>
      <c r="U77" s="9"/>
      <c r="V77" s="9"/>
    </row>
    <row r="78">
      <c r="A78" s="9" t="s">
        <v>15</v>
      </c>
      <c r="B78" s="10"/>
      <c r="C78" s="11"/>
      <c r="D78" s="12"/>
      <c r="E78" s="10">
        <v>3.01</v>
      </c>
      <c r="F78" s="11">
        <v>376.25</v>
      </c>
      <c r="G78" s="12">
        <f>IF(E78&gt;0,F78/E78,"")</f>
      </c>
      <c r="H78" s="10">
        <v>12.14</v>
      </c>
      <c r="I78" s="11">
        <v>1108.05</v>
      </c>
      <c r="J78" s="12">
        <f>IF(H78&gt;0,I78/H78,"")</f>
      </c>
      <c r="K78" s="10">
        <v>6.11</v>
      </c>
      <c r="L78" s="11">
        <v>487.77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16</v>
      </c>
      <c r="B79" s="10"/>
      <c r="C79" s="11"/>
      <c r="D79" s="12"/>
      <c r="E79" s="10"/>
      <c r="F79" s="11"/>
      <c r="G79" s="12"/>
      <c r="H79" s="10"/>
      <c r="I79" s="11"/>
      <c r="J79" s="12"/>
      <c r="K79" s="10"/>
      <c r="L79" s="11"/>
      <c r="M79" s="12"/>
      <c r="N79" s="10"/>
      <c r="O79" s="11"/>
      <c r="P79" s="12"/>
      <c r="S79" s="9"/>
      <c r="T79" s="9"/>
      <c r="U79" s="9"/>
      <c r="V79" s="9"/>
    </row>
    <row r="80">
      <c r="A80" s="9" t="s">
        <v>17</v>
      </c>
      <c r="B80" s="10"/>
      <c r="C80" s="11"/>
      <c r="D80" s="12"/>
      <c r="E80" s="10"/>
      <c r="F80" s="11"/>
      <c r="G80" s="12"/>
      <c r="H80" s="10"/>
      <c r="I80" s="11"/>
      <c r="J80" s="12"/>
      <c r="K80" s="10"/>
      <c r="L80" s="11"/>
      <c r="M80" s="12"/>
      <c r="N80" s="10"/>
      <c r="O80" s="11"/>
      <c r="P80" s="12"/>
      <c r="S80" s="9"/>
      <c r="T80" s="9"/>
      <c r="U80" s="9"/>
      <c r="V80" s="9"/>
    </row>
    <row r="81">
      <c r="A81" s="5" t="s">
        <v>28</v>
      </c>
      <c r="B81" s="6">
        <f>SUM(B82:B87)</f>
      </c>
      <c r="C81" s="7">
        <f>SUM(C82:C87)</f>
      </c>
      <c r="D81" s="8">
        <f>IF(B81&gt;0,C81/B81,"")</f>
      </c>
      <c r="E81" s="6">
        <f>SUM(E82:E87)</f>
      </c>
      <c r="F81" s="7">
        <f>SUM(F82:F87)</f>
      </c>
      <c r="G81" s="8">
        <f>IF(E81&gt;0,F81/E81,"")</f>
      </c>
      <c r="H81" s="6">
        <f>SUM(H82:H87)</f>
      </c>
      <c r="I81" s="7">
        <f>SUM(I82:I87)</f>
      </c>
      <c r="J81" s="8">
        <f>IF(H81&gt;0,I81/H81,"")</f>
      </c>
      <c r="K81" s="6">
        <f>SUM(K82:K87)</f>
      </c>
      <c r="L81" s="7">
        <f>SUM(L82:L87)</f>
      </c>
      <c r="M81" s="8">
        <f>IF(K81&gt;0,L81/K81,"")</f>
      </c>
      <c r="N81" s="6">
        <f>SUM(N82:N87)</f>
      </c>
      <c r="O81" s="7">
        <f>SUM(O82:O87)</f>
      </c>
      <c r="P81" s="8">
        <f>IF(N81&gt;0,O81/N81,"")</f>
      </c>
      <c r="S81" s="14">
        <f>IF(B81&gt;0,C81/B81,"")</f>
      </c>
      <c r="T81" s="14">
        <f>IF(E81&gt;0,F81/E81,"")</f>
      </c>
      <c r="U81" s="14">
        <f>IF((H81+K81)&gt;0,(I81+L81)/(H81+K81),"")</f>
      </c>
      <c r="V81" s="14">
        <f>IF(N81&gt;0,O81/N81,"")</f>
      </c>
    </row>
    <row r="82">
      <c r="A82" s="9" t="s">
        <v>12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13</v>
      </c>
      <c r="B83" s="10"/>
      <c r="C83" s="11"/>
      <c r="D83" s="12"/>
      <c r="E83" s="10"/>
      <c r="F83" s="11"/>
      <c r="G83" s="12"/>
      <c r="H83" s="10">
        <v>3.15</v>
      </c>
      <c r="I83" s="11">
        <v>415.8</v>
      </c>
      <c r="J83" s="12">
        <f>IF(H83&gt;0,I83/H83,"")</f>
      </c>
      <c r="K83" s="10">
        <v>3.47</v>
      </c>
      <c r="L83" s="11">
        <v>399.05</v>
      </c>
      <c r="M83" s="12">
        <f>IF(K83&gt;0,L83/K83,"")</f>
      </c>
      <c r="N83" s="10"/>
      <c r="O83" s="11"/>
      <c r="P83" s="12"/>
      <c r="S83" s="9"/>
      <c r="T83" s="9"/>
      <c r="U83" s="9"/>
      <c r="V83" s="9"/>
    </row>
    <row r="84">
      <c r="A84" s="9" t="s">
        <v>14</v>
      </c>
      <c r="B84" s="10"/>
      <c r="C84" s="11"/>
      <c r="D84" s="12"/>
      <c r="E84" s="10"/>
      <c r="F84" s="11"/>
      <c r="G84" s="12"/>
      <c r="H84" s="10">
        <v>3.35</v>
      </c>
      <c r="I84" s="11">
        <v>492.45</v>
      </c>
      <c r="J84" s="12">
        <f>IF(H84&gt;0,I84/H84,"")</f>
      </c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9" t="s">
        <v>15</v>
      </c>
      <c r="B85" s="10"/>
      <c r="C85" s="11"/>
      <c r="D85" s="12"/>
      <c r="E85" s="10"/>
      <c r="F85" s="11"/>
      <c r="G85" s="12"/>
      <c r="H85" s="10"/>
      <c r="I85" s="11"/>
      <c r="J85" s="12"/>
      <c r="K85" s="10"/>
      <c r="L85" s="11"/>
      <c r="M85" s="12"/>
      <c r="N85" s="10"/>
      <c r="O85" s="11"/>
      <c r="P85" s="12"/>
      <c r="S85" s="9"/>
      <c r="T85" s="9"/>
      <c r="U85" s="9"/>
      <c r="V85" s="9"/>
    </row>
    <row r="86">
      <c r="A86" s="9" t="s">
        <v>16</v>
      </c>
      <c r="B86" s="10"/>
      <c r="C86" s="11"/>
      <c r="D86" s="12"/>
      <c r="E86" s="10"/>
      <c r="F86" s="11"/>
      <c r="G86" s="12"/>
      <c r="H86" s="10"/>
      <c r="I86" s="11"/>
      <c r="J86" s="12"/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17</v>
      </c>
      <c r="B87" s="10"/>
      <c r="C87" s="11"/>
      <c r="D87" s="12"/>
      <c r="E87" s="10"/>
      <c r="F87" s="11"/>
      <c r="G87" s="12"/>
      <c r="H87" s="10"/>
      <c r="I87" s="11"/>
      <c r="J87" s="12"/>
      <c r="K87" s="10"/>
      <c r="L87" s="11"/>
      <c r="M87" s="12"/>
      <c r="N87" s="10"/>
      <c r="O87" s="11"/>
      <c r="P87" s="12"/>
      <c r="S87" s="9"/>
      <c r="T87" s="9"/>
      <c r="U87" s="9"/>
      <c r="V87" s="9"/>
    </row>
    <row r="88">
      <c r="A88" s="5" t="s">
        <v>29</v>
      </c>
      <c r="B88" s="6">
        <f>SUM(B89:B94)</f>
      </c>
      <c r="C88" s="7">
        <f>SUM(C89:C94)</f>
      </c>
      <c r="D88" s="8">
        <f>IF(B88&gt;0,C88/B88,"")</f>
      </c>
      <c r="E88" s="6">
        <f>SUM(E89:E94)</f>
      </c>
      <c r="F88" s="7">
        <f>SUM(F89:F94)</f>
      </c>
      <c r="G88" s="8">
        <f>IF(E88&gt;0,F88/E88,"")</f>
      </c>
      <c r="H88" s="6">
        <f>SUM(H89:H94)</f>
      </c>
      <c r="I88" s="7">
        <f>SUM(I89:I94)</f>
      </c>
      <c r="J88" s="8">
        <f>IF(H88&gt;0,I88/H88,"")</f>
      </c>
      <c r="K88" s="6">
        <f>SUM(K89:K94)</f>
      </c>
      <c r="L88" s="7">
        <f>SUM(L89:L94)</f>
      </c>
      <c r="M88" s="8">
        <f>IF(K88&gt;0,L88/K88,"")</f>
      </c>
      <c r="N88" s="6">
        <f>SUM(N89:N94)</f>
      </c>
      <c r="O88" s="7">
        <f>SUM(O89:O94)</f>
      </c>
      <c r="P88" s="8">
        <f>IF(N88&gt;0,O88/N88,"")</f>
      </c>
      <c r="S88" s="14">
        <f>IF(B88&gt;0,C88/B88,"")</f>
      </c>
      <c r="T88" s="14">
        <f>IF(E88&gt;0,F88/E88,"")</f>
      </c>
      <c r="U88" s="14">
        <f>IF((H88+K88)&gt;0,(I88+L88)/(H88+K88),"")</f>
      </c>
      <c r="V88" s="14">
        <f>IF(N88&gt;0,O88/N88,"")</f>
      </c>
    </row>
    <row r="89">
      <c r="A89" s="9" t="s">
        <v>12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13</v>
      </c>
      <c r="B90" s="10"/>
      <c r="C90" s="11"/>
      <c r="D90" s="12"/>
      <c r="E90" s="10"/>
      <c r="F90" s="11"/>
      <c r="G90" s="12"/>
      <c r="H90" s="10">
        <v>3.55</v>
      </c>
      <c r="I90" s="11">
        <v>443.75</v>
      </c>
      <c r="J90" s="12">
        <f>IF(H90&gt;0,I90/H90,"")</f>
      </c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14</v>
      </c>
      <c r="B91" s="10"/>
      <c r="C91" s="11"/>
      <c r="D91" s="12"/>
      <c r="E91" s="10">
        <v>3.6</v>
      </c>
      <c r="F91" s="11">
        <v>295.2</v>
      </c>
      <c r="G91" s="12">
        <f>IF(E91&gt;0,F91/E91,"")</f>
      </c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15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16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9" t="s">
        <v>17</v>
      </c>
      <c r="B94" s="10"/>
      <c r="C94" s="11"/>
      <c r="D94" s="12"/>
      <c r="E94" s="10"/>
      <c r="F94" s="11"/>
      <c r="G94" s="12"/>
      <c r="H94" s="10"/>
      <c r="I94" s="11"/>
      <c r="J94" s="12"/>
      <c r="K94" s="10"/>
      <c r="L94" s="11"/>
      <c r="M94" s="12"/>
      <c r="N94" s="10"/>
      <c r="O94" s="11"/>
      <c r="P94" s="12"/>
      <c r="S94" s="9"/>
      <c r="T94" s="9"/>
      <c r="U94" s="9"/>
      <c r="V94" s="9"/>
    </row>
    <row r="95">
      <c r="A95" s="5" t="s">
        <v>30</v>
      </c>
      <c r="B95" s="6">
        <f>SUM(B96:B101)</f>
      </c>
      <c r="C95" s="7">
        <f>SUM(C96:C101)</f>
      </c>
      <c r="D95" s="8">
        <f>IF(B95&gt;0,C95/B95,"")</f>
      </c>
      <c r="E95" s="6">
        <f>SUM(E96:E101)</f>
      </c>
      <c r="F95" s="7">
        <f>SUM(F96:F101)</f>
      </c>
      <c r="G95" s="8">
        <f>IF(E95&gt;0,F95/E95,"")</f>
      </c>
      <c r="H95" s="6">
        <f>SUM(H96:H101)</f>
      </c>
      <c r="I95" s="7">
        <f>SUM(I96:I101)</f>
      </c>
      <c r="J95" s="8">
        <f>IF(H95&gt;0,I95/H95,"")</f>
      </c>
      <c r="K95" s="6">
        <f>SUM(K96:K101)</f>
      </c>
      <c r="L95" s="7">
        <f>SUM(L96:L101)</f>
      </c>
      <c r="M95" s="8">
        <f>IF(K95&gt;0,L95/K95,"")</f>
      </c>
      <c r="N95" s="6">
        <f>SUM(N96:N101)</f>
      </c>
      <c r="O95" s="7">
        <f>SUM(O96:O101)</f>
      </c>
      <c r="P95" s="8">
        <f>IF(N95&gt;0,O95/N95,"")</f>
      </c>
      <c r="S95" s="14">
        <f>IF(B95&gt;0,C95/B95,"")</f>
      </c>
      <c r="T95" s="14">
        <f>IF(E95&gt;0,F95/E95,"")</f>
      </c>
      <c r="U95" s="14">
        <f>IF((H95+K95)&gt;0,(I95+L95)/(H95+K95),"")</f>
      </c>
      <c r="V95" s="14">
        <f>IF(N95&gt;0,O95/N95,"")</f>
      </c>
    </row>
    <row r="96">
      <c r="A96" s="9" t="s">
        <v>12</v>
      </c>
      <c r="B96" s="10"/>
      <c r="C96" s="11"/>
      <c r="D96" s="12"/>
      <c r="E96" s="10"/>
      <c r="F96" s="11"/>
      <c r="G96" s="12"/>
      <c r="H96" s="10"/>
      <c r="I96" s="11"/>
      <c r="J96" s="12"/>
      <c r="K96" s="10"/>
      <c r="L96" s="11"/>
      <c r="M96" s="12"/>
      <c r="N96" s="10"/>
      <c r="O96" s="11"/>
      <c r="P96" s="12"/>
      <c r="S96" s="9"/>
      <c r="T96" s="9"/>
      <c r="U96" s="9"/>
      <c r="V96" s="9"/>
    </row>
    <row r="97">
      <c r="A97" s="9" t="s">
        <v>13</v>
      </c>
      <c r="B97" s="10"/>
      <c r="C97" s="11"/>
      <c r="D97" s="12"/>
      <c r="E97" s="10"/>
      <c r="F97" s="11"/>
      <c r="G97" s="12"/>
      <c r="H97" s="10"/>
      <c r="I97" s="11"/>
      <c r="J97" s="12"/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14</v>
      </c>
      <c r="B98" s="10"/>
      <c r="C98" s="11"/>
      <c r="D98" s="12"/>
      <c r="E98" s="10"/>
      <c r="F98" s="11"/>
      <c r="G98" s="12"/>
      <c r="H98" s="10"/>
      <c r="I98" s="11"/>
      <c r="J98" s="12"/>
      <c r="K98" s="10"/>
      <c r="L98" s="11"/>
      <c r="M98" s="12"/>
      <c r="N98" s="10"/>
      <c r="O98" s="11"/>
      <c r="P98" s="12"/>
      <c r="S98" s="9"/>
      <c r="T98" s="9"/>
      <c r="U98" s="9"/>
      <c r="V98" s="9"/>
    </row>
    <row r="99">
      <c r="A99" s="9" t="s">
        <v>15</v>
      </c>
      <c r="B99" s="10"/>
      <c r="C99" s="11"/>
      <c r="D99" s="12"/>
      <c r="E99" s="10"/>
      <c r="F99" s="11"/>
      <c r="G99" s="12"/>
      <c r="H99" s="10">
        <v>3.74</v>
      </c>
      <c r="I99" s="11">
        <v>411.4</v>
      </c>
      <c r="J99" s="12">
        <f>IF(H99&gt;0,I99/H99,"")</f>
      </c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16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17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5" t="s">
        <v>31</v>
      </c>
      <c r="B102" s="6">
        <f>SUM(B103:B108)</f>
      </c>
      <c r="C102" s="7">
        <f>SUM(C103:C108)</f>
      </c>
      <c r="D102" s="8">
        <f>IF(B102&gt;0,C102/B102,"")</f>
      </c>
      <c r="E102" s="6">
        <f>SUM(E103:E108)</f>
      </c>
      <c r="F102" s="7">
        <f>SUM(F103:F108)</f>
      </c>
      <c r="G102" s="8">
        <f>IF(E102&gt;0,F102/E102,"")</f>
      </c>
      <c r="H102" s="6">
        <f>SUM(H103:H108)</f>
      </c>
      <c r="I102" s="7">
        <f>SUM(I103:I108)</f>
      </c>
      <c r="J102" s="8">
        <f>IF(H102&gt;0,I102/H102,"")</f>
      </c>
      <c r="K102" s="6">
        <f>SUM(K103:K108)</f>
      </c>
      <c r="L102" s="7">
        <f>SUM(L103:L108)</f>
      </c>
      <c r="M102" s="8">
        <f>IF(K102&gt;0,L102/K102,"")</f>
      </c>
      <c r="N102" s="6">
        <f>SUM(N103:N108)</f>
      </c>
      <c r="O102" s="7">
        <f>SUM(O103:O108)</f>
      </c>
      <c r="P102" s="8">
        <f>IF(N102&gt;0,O102/N102,"")</f>
      </c>
      <c r="S102" s="14">
        <f>IF(B102&gt;0,C102/B102,"")</f>
      </c>
      <c r="T102" s="14">
        <f>IF(E102&gt;0,F102/E102,"")</f>
      </c>
      <c r="U102" s="14">
        <f>IF((H102+K102)&gt;0,(I102+L102)/(H102+K102),"")</f>
      </c>
      <c r="V102" s="14">
        <f>IF(N102&gt;0,O102/N102,"")</f>
      </c>
    </row>
    <row r="103">
      <c r="A103" s="9" t="s">
        <v>12</v>
      </c>
      <c r="B103" s="10"/>
      <c r="C103" s="11"/>
      <c r="D103" s="12"/>
      <c r="E103" s="10"/>
      <c r="F103" s="11"/>
      <c r="G103" s="12"/>
      <c r="H103" s="10"/>
      <c r="I103" s="11"/>
      <c r="J103" s="12"/>
      <c r="K103" s="10"/>
      <c r="L103" s="11"/>
      <c r="M103" s="12"/>
      <c r="N103" s="10"/>
      <c r="O103" s="11"/>
      <c r="P103" s="12"/>
      <c r="S103" s="9"/>
      <c r="T103" s="9"/>
      <c r="U103" s="9"/>
      <c r="V103" s="9"/>
    </row>
    <row r="104">
      <c r="A104" s="9" t="s">
        <v>13</v>
      </c>
      <c r="B104" s="10"/>
      <c r="C104" s="11"/>
      <c r="D104" s="12"/>
      <c r="E104" s="10"/>
      <c r="F104" s="11"/>
      <c r="G104" s="12"/>
      <c r="H104" s="10">
        <v>8.04</v>
      </c>
      <c r="I104" s="11">
        <v>880.38</v>
      </c>
      <c r="J104" s="12">
        <f>IF(H104&gt;0,I104/H104,"")</f>
      </c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14</v>
      </c>
      <c r="B105" s="10"/>
      <c r="C105" s="11"/>
      <c r="D105" s="12"/>
      <c r="E105" s="10"/>
      <c r="F105" s="11"/>
      <c r="G105" s="12"/>
      <c r="H105" s="10">
        <v>16.22</v>
      </c>
      <c r="I105" s="11">
        <v>1620.45</v>
      </c>
      <c r="J105" s="12">
        <f>IF(H105&gt;0,I105/H105,"")</f>
      </c>
      <c r="K105" s="10">
        <v>8.07</v>
      </c>
      <c r="L105" s="11">
        <v>746.48</v>
      </c>
      <c r="M105" s="12">
        <f>IF(K105&gt;0,L105/K105,"")</f>
      </c>
      <c r="N105" s="10"/>
      <c r="O105" s="11"/>
      <c r="P105" s="12"/>
      <c r="S105" s="9"/>
      <c r="T105" s="9"/>
      <c r="U105" s="9"/>
      <c r="V105" s="9"/>
    </row>
    <row r="106">
      <c r="A106" s="9" t="s">
        <v>15</v>
      </c>
      <c r="B106" s="10"/>
      <c r="C106" s="11"/>
      <c r="D106" s="12"/>
      <c r="E106" s="10"/>
      <c r="F106" s="11"/>
      <c r="G106" s="12"/>
      <c r="H106" s="10">
        <v>24.37</v>
      </c>
      <c r="I106" s="11">
        <v>1893.76</v>
      </c>
      <c r="J106" s="12">
        <f>IF(H106&gt;0,I106/H106,"")</f>
      </c>
      <c r="K106" s="10">
        <v>4.04</v>
      </c>
      <c r="L106" s="11">
        <v>270.68</v>
      </c>
      <c r="M106" s="12">
        <f>IF(K106&gt;0,L106/K106,"")</f>
      </c>
      <c r="N106" s="10"/>
      <c r="O106" s="11"/>
      <c r="P106" s="12"/>
      <c r="S106" s="9"/>
      <c r="T106" s="9"/>
      <c r="U106" s="9"/>
      <c r="V106" s="9"/>
    </row>
    <row r="107">
      <c r="A107" s="9" t="s">
        <v>16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17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5" t="s">
        <v>32</v>
      </c>
      <c r="B109" s="6">
        <f>SUM(B110:B115)</f>
      </c>
      <c r="C109" s="7">
        <f>SUM(C110:C115)</f>
      </c>
      <c r="D109" s="8">
        <f>IF(B109&gt;0,C109/B109,"")</f>
      </c>
      <c r="E109" s="6">
        <f>SUM(E110:E115)</f>
      </c>
      <c r="F109" s="7">
        <f>SUM(F110:F115)</f>
      </c>
      <c r="G109" s="8">
        <f>IF(E109&gt;0,F109/E109,"")</f>
      </c>
      <c r="H109" s="6">
        <f>SUM(H110:H115)</f>
      </c>
      <c r="I109" s="7">
        <f>SUM(I110:I115)</f>
      </c>
      <c r="J109" s="8">
        <f>IF(H109&gt;0,I109/H109,"")</f>
      </c>
      <c r="K109" s="6">
        <f>SUM(K110:K115)</f>
      </c>
      <c r="L109" s="7">
        <f>SUM(L110:L115)</f>
      </c>
      <c r="M109" s="8">
        <f>IF(K109&gt;0,L109/K109,"")</f>
      </c>
      <c r="N109" s="6">
        <f>SUM(N110:N115)</f>
      </c>
      <c r="O109" s="7">
        <f>SUM(O110:O115)</f>
      </c>
      <c r="P109" s="8">
        <f>IF(N109&gt;0,O109/N109,"")</f>
      </c>
      <c r="S109" s="14">
        <f>IF(B109&gt;0,C109/B109,"")</f>
      </c>
      <c r="T109" s="14">
        <f>IF(E109&gt;0,F109/E109,"")</f>
      </c>
      <c r="U109" s="14">
        <f>IF((H109+K109)&gt;0,(I109+L109)/(H109+K109),"")</f>
      </c>
      <c r="V109" s="14">
        <f>IF(N109&gt;0,O109/N109,"")</f>
      </c>
    </row>
    <row r="110">
      <c r="A110" s="9" t="s">
        <v>12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13</v>
      </c>
      <c r="B111" s="10"/>
      <c r="C111" s="11"/>
      <c r="D111" s="12"/>
      <c r="E111" s="10">
        <v>85.59</v>
      </c>
      <c r="F111" s="11">
        <v>10851.91</v>
      </c>
      <c r="G111" s="12">
        <f>IF(E111&gt;0,F111/E111,"")</f>
      </c>
      <c r="H111" s="10">
        <v>70.73</v>
      </c>
      <c r="I111" s="11">
        <v>9206.11</v>
      </c>
      <c r="J111" s="12">
        <f>IF(H111&gt;0,I111/H111,"")</f>
      </c>
      <c r="K111" s="10">
        <v>5.04</v>
      </c>
      <c r="L111" s="11">
        <v>642.55</v>
      </c>
      <c r="M111" s="12">
        <f>IF(K111&gt;0,L111/K111,"")</f>
      </c>
      <c r="N111" s="10"/>
      <c r="O111" s="11"/>
      <c r="P111" s="12"/>
      <c r="S111" s="9"/>
      <c r="T111" s="9"/>
      <c r="U111" s="9"/>
      <c r="V111" s="9"/>
    </row>
    <row r="112">
      <c r="A112" s="9" t="s">
        <v>14</v>
      </c>
      <c r="B112" s="10"/>
      <c r="C112" s="11"/>
      <c r="D112" s="12"/>
      <c r="E112" s="10">
        <v>202.28</v>
      </c>
      <c r="F112" s="11">
        <v>18838.8</v>
      </c>
      <c r="G112" s="12">
        <f>IF(E112&gt;0,F112/E112,"")</f>
      </c>
      <c r="H112" s="10">
        <v>180.9</v>
      </c>
      <c r="I112" s="11">
        <v>16631.72</v>
      </c>
      <c r="J112" s="12">
        <f>IF(H112&gt;0,I112/H112,"")</f>
      </c>
      <c r="K112" s="10">
        <v>5.08</v>
      </c>
      <c r="L112" s="11">
        <v>325.12</v>
      </c>
      <c r="M112" s="12">
        <f>IF(K112&gt;0,L112/K112,"")</f>
      </c>
      <c r="N112" s="10"/>
      <c r="O112" s="11"/>
      <c r="P112" s="12"/>
      <c r="S112" s="9"/>
      <c r="T112" s="9"/>
      <c r="U112" s="9"/>
      <c r="V112" s="9"/>
    </row>
    <row r="113">
      <c r="A113" s="9" t="s">
        <v>15</v>
      </c>
      <c r="B113" s="10"/>
      <c r="C113" s="11"/>
      <c r="D113" s="12"/>
      <c r="E113" s="10"/>
      <c r="F113" s="11"/>
      <c r="G113" s="12"/>
      <c r="H113" s="10">
        <v>10.06</v>
      </c>
      <c r="I113" s="11">
        <v>695.48</v>
      </c>
      <c r="J113" s="12">
        <f>IF(H113&gt;0,I113/H113,"")</f>
      </c>
      <c r="K113" s="10">
        <v>5.09</v>
      </c>
      <c r="L113" s="11">
        <v>506.25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16</v>
      </c>
      <c r="B114" s="10"/>
      <c r="C114" s="11"/>
      <c r="D114" s="12"/>
      <c r="E114" s="10"/>
      <c r="F114" s="11"/>
      <c r="G114" s="12"/>
      <c r="H114" s="10"/>
      <c r="I114" s="11"/>
      <c r="J114" s="12"/>
      <c r="K114" s="10"/>
      <c r="L114" s="11"/>
      <c r="M114" s="12"/>
      <c r="N114" s="10"/>
      <c r="O114" s="11"/>
      <c r="P114" s="12"/>
      <c r="S114" s="9"/>
      <c r="T114" s="9"/>
      <c r="U114" s="9"/>
      <c r="V114" s="9"/>
    </row>
    <row r="115">
      <c r="A115" s="9" t="s">
        <v>17</v>
      </c>
      <c r="B115" s="10"/>
      <c r="C115" s="11"/>
      <c r="D115" s="12"/>
      <c r="E115" s="10"/>
      <c r="F115" s="11"/>
      <c r="G115" s="12"/>
      <c r="H115" s="10"/>
      <c r="I115" s="11"/>
      <c r="J115" s="12"/>
      <c r="K115" s="10"/>
      <c r="L115" s="11"/>
      <c r="M115" s="12"/>
      <c r="N115" s="10"/>
      <c r="O115" s="11"/>
      <c r="P115" s="12"/>
      <c r="S115" s="9"/>
      <c r="T115" s="9"/>
      <c r="U115" s="9"/>
      <c r="V115" s="9"/>
    </row>
    <row r="116">
      <c r="A116" s="5" t="s">
        <v>33</v>
      </c>
      <c r="B116" s="6">
        <f>SUM(B117:B122)</f>
      </c>
      <c r="C116" s="7">
        <f>SUM(C117:C122)</f>
      </c>
      <c r="D116" s="8">
        <f>IF(B116&gt;0,C116/B116,"")</f>
      </c>
      <c r="E116" s="6">
        <f>SUM(E117:E122)</f>
      </c>
      <c r="F116" s="7">
        <f>SUM(F117:F122)</f>
      </c>
      <c r="G116" s="8">
        <f>IF(E116&gt;0,F116/E116,"")</f>
      </c>
      <c r="H116" s="6">
        <f>SUM(H117:H122)</f>
      </c>
      <c r="I116" s="7">
        <f>SUM(I117:I122)</f>
      </c>
      <c r="J116" s="8">
        <f>IF(H116&gt;0,I116/H116,"")</f>
      </c>
      <c r="K116" s="6">
        <f>SUM(K117:K122)</f>
      </c>
      <c r="L116" s="7">
        <f>SUM(L117:L122)</f>
      </c>
      <c r="M116" s="8">
        <f>IF(K116&gt;0,L116/K116,"")</f>
      </c>
      <c r="N116" s="6">
        <f>SUM(N117:N122)</f>
      </c>
      <c r="O116" s="7">
        <f>SUM(O117:O122)</f>
      </c>
      <c r="P116" s="8">
        <f>IF(N116&gt;0,O116/N116,"")</f>
      </c>
      <c r="S116" s="14">
        <f>IF(B116&gt;0,C116/B116,"")</f>
      </c>
      <c r="T116" s="14">
        <f>IF(E116&gt;0,F116/E116,"")</f>
      </c>
      <c r="U116" s="14">
        <f>IF((H116+K116)&gt;0,(I116+L116)/(H116+K116),"")</f>
      </c>
      <c r="V116" s="14">
        <f>IF(N116&gt;0,O116/N116,"")</f>
      </c>
    </row>
    <row r="117">
      <c r="A117" s="9" t="s">
        <v>12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13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>
        <v>5.54</v>
      </c>
      <c r="L118" s="11">
        <v>360.1</v>
      </c>
      <c r="M118" s="12">
        <f>IF(K118&gt;0,L118/K118,"")</f>
      </c>
      <c r="N118" s="10"/>
      <c r="O118" s="11"/>
      <c r="P118" s="12"/>
      <c r="S118" s="9"/>
      <c r="T118" s="9"/>
      <c r="U118" s="9"/>
      <c r="V118" s="9"/>
    </row>
    <row r="119">
      <c r="A119" s="9" t="s">
        <v>14</v>
      </c>
      <c r="B119" s="10"/>
      <c r="C119" s="11"/>
      <c r="D119" s="12"/>
      <c r="E119" s="10">
        <v>5.58</v>
      </c>
      <c r="F119" s="11">
        <v>474.3</v>
      </c>
      <c r="G119" s="12">
        <f>IF(E119&gt;0,F119/E119,"")</f>
      </c>
      <c r="H119" s="10"/>
      <c r="I119" s="11"/>
      <c r="J119" s="12"/>
      <c r="K119" s="10">
        <v>5.59</v>
      </c>
      <c r="L119" s="11">
        <v>363.35</v>
      </c>
      <c r="M119" s="12">
        <f>IF(K119&gt;0,L119/K119,"")</f>
      </c>
      <c r="N119" s="10"/>
      <c r="O119" s="11"/>
      <c r="P119" s="12"/>
      <c r="S119" s="9"/>
      <c r="T119" s="9"/>
      <c r="U119" s="9"/>
      <c r="V119" s="9"/>
    </row>
    <row r="120">
      <c r="A120" s="9" t="s">
        <v>15</v>
      </c>
      <c r="B120" s="10"/>
      <c r="C120" s="11"/>
      <c r="D120" s="12"/>
      <c r="E120" s="10"/>
      <c r="F120" s="11"/>
      <c r="G120" s="12"/>
      <c r="H120" s="10">
        <v>5.56</v>
      </c>
      <c r="I120" s="11">
        <v>544.88</v>
      </c>
      <c r="J120" s="12">
        <f>IF(H120&gt;0,I120/H120,"")</f>
      </c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9" t="s">
        <v>16</v>
      </c>
      <c r="B121" s="10"/>
      <c r="C121" s="11"/>
      <c r="D121" s="12"/>
      <c r="E121" s="10"/>
      <c r="F121" s="11"/>
      <c r="G121" s="12"/>
      <c r="H121" s="10"/>
      <c r="I121" s="11"/>
      <c r="J121" s="12"/>
      <c r="K121" s="10"/>
      <c r="L121" s="11"/>
      <c r="M121" s="12"/>
      <c r="N121" s="10"/>
      <c r="O121" s="11"/>
      <c r="P121" s="12"/>
      <c r="S121" s="9"/>
      <c r="T121" s="9"/>
      <c r="U121" s="9"/>
      <c r="V121" s="9"/>
    </row>
    <row r="122">
      <c r="A122" s="9" t="s">
        <v>17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5" t="s">
        <v>34</v>
      </c>
      <c r="B123" s="6">
        <f>SUM(B124:B129)</f>
      </c>
      <c r="C123" s="7">
        <f>SUM(C124:C129)</f>
      </c>
      <c r="D123" s="8">
        <f>IF(B123&gt;0,C123/B123,"")</f>
      </c>
      <c r="E123" s="6">
        <f>SUM(E124:E129)</f>
      </c>
      <c r="F123" s="7">
        <f>SUM(F124:F129)</f>
      </c>
      <c r="G123" s="8">
        <f>IF(E123&gt;0,F123/E123,"")</f>
      </c>
      <c r="H123" s="6">
        <f>SUM(H124:H129)</f>
      </c>
      <c r="I123" s="7">
        <f>SUM(I124:I129)</f>
      </c>
      <c r="J123" s="8">
        <f>IF(H123&gt;0,I123/H123,"")</f>
      </c>
      <c r="K123" s="6">
        <f>SUM(K124:K129)</f>
      </c>
      <c r="L123" s="7">
        <f>SUM(L124:L129)</f>
      </c>
      <c r="M123" s="8">
        <f>IF(K123&gt;0,L123/K123,"")</f>
      </c>
      <c r="N123" s="6">
        <f>SUM(N124:N129)</f>
      </c>
      <c r="O123" s="7">
        <f>SUM(O124:O129)</f>
      </c>
      <c r="P123" s="8">
        <f>IF(N123&gt;0,O123/N123,"")</f>
      </c>
      <c r="S123" s="14">
        <f>IF(B123&gt;0,C123/B123,"")</f>
      </c>
      <c r="T123" s="14">
        <f>IF(E123&gt;0,F123/E123,"")</f>
      </c>
      <c r="U123" s="14">
        <f>IF((H123+K123)&gt;0,(I123+L123)/(H123+K123),"")</f>
      </c>
      <c r="V123" s="14">
        <f>IF(N123&gt;0,O123/N123,"")</f>
      </c>
    </row>
    <row r="124">
      <c r="A124" s="9" t="s">
        <v>12</v>
      </c>
      <c r="B124" s="10"/>
      <c r="C124" s="11"/>
      <c r="D124" s="12"/>
      <c r="E124" s="10"/>
      <c r="F124" s="11"/>
      <c r="G124" s="12"/>
      <c r="H124" s="10"/>
      <c r="I124" s="11"/>
      <c r="J124" s="12"/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13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14</v>
      </c>
      <c r="B126" s="10"/>
      <c r="C126" s="11"/>
      <c r="D126" s="12"/>
      <c r="E126" s="10">
        <v>6.1</v>
      </c>
      <c r="F126" s="11">
        <v>524.6</v>
      </c>
      <c r="G126" s="12">
        <f>IF(E126&gt;0,F126/E126,"")</f>
      </c>
      <c r="H126" s="10">
        <v>12.11</v>
      </c>
      <c r="I126" s="11">
        <v>1041.46</v>
      </c>
      <c r="J126" s="12">
        <f>IF(H126&gt;0,I126/H126,"")</f>
      </c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15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>
        <v>6.01</v>
      </c>
      <c r="L127" s="11">
        <v>390.65</v>
      </c>
      <c r="M127" s="12">
        <f>IF(K127&gt;0,L127/K127,"")</f>
      </c>
      <c r="N127" s="10"/>
      <c r="O127" s="11"/>
      <c r="P127" s="12"/>
      <c r="S127" s="9"/>
      <c r="T127" s="9"/>
      <c r="U127" s="9"/>
      <c r="V127" s="9"/>
    </row>
    <row r="128">
      <c r="A128" s="9" t="s">
        <v>16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17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