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ummary" sheetId="6" r:id="rId7"/>
  </sheets>
  <calcPr fullCalcOnLoad="1" fullPrecision="1"/>
</workbook>
</file>

<file path=xl/sharedStrings.xml><?xml version="1.0" encoding="utf-8"?>
<sst xmlns="http://schemas.openxmlformats.org/spreadsheetml/2006/main" count="66" uniqueCount="66">
  <si>
    <t>ROUND 3EX (IGI STOCK) PERCENTAGE WISE REPORT</t>
  </si>
  <si>
    <t>29-05-26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</si>
  <si>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</si>
  <si>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</si>
  <si>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</si>
  <si>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</si>
  <si>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</si>
  <si>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</si>
  <si>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</si>
  <si>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</si>
  <si>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</si>
  <si>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</si>
  <si>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</si>
  <si>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</si>
  <si>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</si>
  <si>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</si>
  <si>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</si>
  <si>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</si>
  <si>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</si>
  <si>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</si>
  <si>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</si>
  <si>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</si>
  <si>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</si>
  <si>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</si>
  <si>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</si>
  <si>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</si>
  <si>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</si>
  <si>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</si>
  <si>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</si>
  <si>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</si>
  <si>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</si>
  <si>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</si>
  <si>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</si>
  <si>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</si>
  <si>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</si>
  <si>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</si>
  <si>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</si>
  <si>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</si>
  <si>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</si>
  <si>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</si>
  <si>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</si>
  <si>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</si>
  <si>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</si>
  <si>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</si>
  <si>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</si>
  <si>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</si>
  <si>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</si>
  <si>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/>
  </si>
  <si>
    <t>3.61-3.99</t>
  </si>
  <si>
    <t>5.50-5.60</t>
  </si>
  <si>
    <t>29-05-2026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</si>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</sst>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50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15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15.47</v>
      </c>
      <c r="F4" s="8">
        <v>1375</v>
      </c>
      <c r="G4" s="7">
        <v>21.04</v>
      </c>
      <c r="H4" s="8">
        <v>373</v>
      </c>
      <c r="I4" s="7">
        <v>5.7</v>
      </c>
      <c r="J4" s="8">
        <v>216</v>
      </c>
      <c r="K4" s="7">
        <v>3.3</v>
      </c>
      <c r="L4" s="8">
        <v>19</v>
      </c>
      <c r="M4" s="7">
        <v>0.29</v>
      </c>
      <c r="N4" s="8">
        <v>3046</v>
      </c>
      <c r="O4" s="9">
        <v>46.58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4.43</v>
      </c>
      <c r="F5" s="11">
        <v>629</v>
      </c>
      <c r="G5" s="10">
        <v>9.62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1115</v>
      </c>
      <c r="O5" s="13">
        <v>17.04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5.23</v>
      </c>
      <c r="F6" s="11">
        <v>457</v>
      </c>
      <c r="G6" s="10">
        <v>6.99</v>
      </c>
      <c r="H6" s="11">
        <v>137</v>
      </c>
      <c r="I6" s="10">
        <v>2.09</v>
      </c>
      <c r="J6" s="11">
        <v>112</v>
      </c>
      <c r="K6" s="10">
        <v>1.71</v>
      </c>
      <c r="L6" s="11">
        <v>4</v>
      </c>
      <c r="M6" s="10">
        <v>0.06</v>
      </c>
      <c r="N6" s="12">
        <v>1071</v>
      </c>
      <c r="O6" s="13">
        <v>16.37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4.05</v>
      </c>
      <c r="F7" s="11">
        <v>263</v>
      </c>
      <c r="G7" s="10">
        <v>4.02</v>
      </c>
      <c r="H7" s="11">
        <v>99</v>
      </c>
      <c r="I7" s="10">
        <v>1.51</v>
      </c>
      <c r="J7" s="11">
        <v>40</v>
      </c>
      <c r="K7" s="10">
        <v>0.61</v>
      </c>
      <c r="L7" s="11">
        <v>11</v>
      </c>
      <c r="M7" s="10">
        <v>0.17</v>
      </c>
      <c r="N7" s="12">
        <v>693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0.51</v>
      </c>
      <c r="J11" s="8">
        <v>16</v>
      </c>
      <c r="K11" s="7">
        <v>0.25</v>
      </c>
      <c r="L11" s="12"/>
      <c r="M11" s="14"/>
      <c r="N11" s="8">
        <v>124</v>
      </c>
      <c r="O11" s="9">
        <v>1.91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0.28</v>
      </c>
      <c r="J13" s="11">
        <v>9</v>
      </c>
      <c r="K13" s="10">
        <v>0.14</v>
      </c>
      <c r="L13" s="11"/>
      <c r="M13" s="10"/>
      <c r="N13" s="12">
        <v>64</v>
      </c>
      <c r="O13" s="13">
        <v>0.98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3.21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11.09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1.18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3.36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1.06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4.16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400</v>
      </c>
      <c r="E29" s="7">
        <v>6.12</v>
      </c>
      <c r="F29" s="8">
        <v>951</v>
      </c>
      <c r="G29" s="7">
        <v>14.55</v>
      </c>
      <c r="H29" s="8">
        <v>344</v>
      </c>
      <c r="I29" s="7">
        <v>5.26</v>
      </c>
      <c r="J29" s="8">
        <v>82</v>
      </c>
      <c r="K29" s="7">
        <v>1.25</v>
      </c>
      <c r="L29" s="8">
        <v>6</v>
      </c>
      <c r="M29" s="7">
        <v>0.1</v>
      </c>
      <c r="N29" s="8">
        <v>1795</v>
      </c>
      <c r="O29" s="9">
        <v>27.48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1.9</v>
      </c>
      <c r="F30" s="11">
        <v>315</v>
      </c>
      <c r="G30" s="10">
        <v>4.82</v>
      </c>
      <c r="H30" s="11">
        <v>65</v>
      </c>
      <c r="I30" s="10">
        <v>0.99</v>
      </c>
      <c r="J30" s="11">
        <v>30</v>
      </c>
      <c r="K30" s="10">
        <v>0.46</v>
      </c>
      <c r="L30" s="11">
        <v>2</v>
      </c>
      <c r="M30" s="10">
        <v>0.03</v>
      </c>
      <c r="N30" s="12">
        <v>537</v>
      </c>
      <c r="O30" s="13">
        <v>8.22</v>
      </c>
    </row>
    <row r="31">
      <c r="A31" s="10" t="s">
        <v>14</v>
      </c>
      <c r="B31" s="11">
        <v>7</v>
      </c>
      <c r="C31" s="10">
        <v>0.11</v>
      </c>
      <c r="D31" s="11">
        <v>126</v>
      </c>
      <c r="E31" s="10">
        <v>1.93</v>
      </c>
      <c r="F31" s="11">
        <v>324</v>
      </c>
      <c r="G31" s="10">
        <v>4.95</v>
      </c>
      <c r="H31" s="11">
        <v>147</v>
      </c>
      <c r="I31" s="10">
        <v>2.25</v>
      </c>
      <c r="J31" s="11">
        <v>23</v>
      </c>
      <c r="K31" s="10">
        <v>0.35</v>
      </c>
      <c r="L31" s="11">
        <v>2</v>
      </c>
      <c r="M31" s="10">
        <v>0.03</v>
      </c>
      <c r="N31" s="12">
        <v>629</v>
      </c>
      <c r="O31" s="13">
        <v>9.62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274</v>
      </c>
      <c r="G32" s="10">
        <v>4.19</v>
      </c>
      <c r="H32" s="11">
        <v>122</v>
      </c>
      <c r="I32" s="10">
        <v>1.87</v>
      </c>
      <c r="J32" s="11">
        <v>25</v>
      </c>
      <c r="K32" s="10">
        <v>0.38</v>
      </c>
      <c r="L32" s="11">
        <v>1</v>
      </c>
      <c r="M32" s="10">
        <v>0.02</v>
      </c>
      <c r="N32" s="12">
        <v>546</v>
      </c>
      <c r="O32" s="13">
        <v>8.36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0.02</v>
      </c>
      <c r="H36" s="11"/>
      <c r="I36" s="10"/>
      <c r="J36" s="11"/>
      <c r="K36" s="10"/>
      <c r="L36" s="11"/>
      <c r="M36" s="10"/>
      <c r="N36" s="12">
        <v>1</v>
      </c>
      <c r="O36" s="13">
        <v>0.02</v>
      </c>
    </row>
    <row r="37">
      <c r="A37" s="7" t="s">
        <v>24</v>
      </c>
      <c r="B37" s="12"/>
      <c r="C37" s="14"/>
      <c r="D37" s="8">
        <v>3</v>
      </c>
      <c r="E37" s="7">
        <v>0.06</v>
      </c>
      <c r="F37" s="8">
        <v>20</v>
      </c>
      <c r="G37" s="7">
        <v>0.31</v>
      </c>
      <c r="H37" s="8">
        <v>19</v>
      </c>
      <c r="I37" s="7">
        <v>0.3</v>
      </c>
      <c r="J37" s="8">
        <v>10</v>
      </c>
      <c r="K37" s="7">
        <v>0.16</v>
      </c>
      <c r="L37" s="8">
        <v>2</v>
      </c>
      <c r="M37" s="7">
        <v>0.04</v>
      </c>
      <c r="N37" s="8">
        <v>54</v>
      </c>
      <c r="O37" s="9">
        <v>0.87</v>
      </c>
    </row>
    <row r="38">
      <c r="A38" s="10" t="s">
        <v>13</v>
      </c>
      <c r="B38" s="11"/>
      <c r="C38" s="10"/>
      <c r="D38" s="11">
        <v>1</v>
      </c>
      <c r="E38" s="10">
        <v>0.02</v>
      </c>
      <c r="F38" s="11">
        <v>1</v>
      </c>
      <c r="G38" s="10">
        <v>0.02</v>
      </c>
      <c r="H38" s="11">
        <v>1</v>
      </c>
      <c r="I38" s="10">
        <v>0.02</v>
      </c>
      <c r="J38" s="11">
        <v>1</v>
      </c>
      <c r="K38" s="10">
        <v>0.02</v>
      </c>
      <c r="L38" s="11"/>
      <c r="M38" s="10"/>
      <c r="N38" s="12">
        <v>4</v>
      </c>
      <c r="O38" s="13">
        <v>0.08</v>
      </c>
    </row>
    <row r="39">
      <c r="A39" s="10" t="s">
        <v>14</v>
      </c>
      <c r="B39" s="11"/>
      <c r="C39" s="10"/>
      <c r="D39" s="11">
        <v>1</v>
      </c>
      <c r="E39" s="10">
        <v>0.02</v>
      </c>
      <c r="F39" s="11">
        <v>12</v>
      </c>
      <c r="G39" s="10">
        <v>0.18</v>
      </c>
      <c r="H39" s="11">
        <v>13</v>
      </c>
      <c r="I39" s="10">
        <v>0.2</v>
      </c>
      <c r="J39" s="11">
        <v>4</v>
      </c>
      <c r="K39" s="10">
        <v>0.06</v>
      </c>
      <c r="L39" s="11">
        <v>1</v>
      </c>
      <c r="M39" s="10">
        <v>0.02</v>
      </c>
      <c r="N39" s="12">
        <v>31</v>
      </c>
      <c r="O39" s="13">
        <v>0.48</v>
      </c>
    </row>
    <row r="40">
      <c r="A40" s="10" t="s">
        <v>15</v>
      </c>
      <c r="B40" s="11"/>
      <c r="C40" s="10"/>
      <c r="D40" s="11">
        <v>1</v>
      </c>
      <c r="E40" s="10">
        <v>0.02</v>
      </c>
      <c r="F40" s="11">
        <v>4</v>
      </c>
      <c r="G40" s="10">
        <v>0.06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0.02</v>
      </c>
      <c r="N40" s="12">
        <v>14</v>
      </c>
      <c r="O40" s="13">
        <v>0.22</v>
      </c>
    </row>
    <row r="41">
      <c r="A41" s="10" t="s">
        <v>16</v>
      </c>
      <c r="B41" s="11"/>
      <c r="C41" s="10"/>
      <c r="D41" s="11"/>
      <c r="E41" s="10"/>
      <c r="F41" s="11">
        <v>2</v>
      </c>
      <c r="G41" s="10">
        <v>0.03</v>
      </c>
      <c r="H41" s="11">
        <v>1</v>
      </c>
      <c r="I41" s="10">
        <v>0.02</v>
      </c>
      <c r="J41" s="11"/>
      <c r="K41" s="10"/>
      <c r="L41" s="11"/>
      <c r="M41" s="10"/>
      <c r="N41" s="12">
        <v>3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>
        <v>1</v>
      </c>
      <c r="K42" s="10">
        <v>0.02</v>
      </c>
      <c r="L42" s="11"/>
      <c r="M42" s="10"/>
      <c r="N42" s="12">
        <v>2</v>
      </c>
      <c r="O42" s="13">
        <v>0.04</v>
      </c>
    </row>
    <row r="43">
      <c r="A43" s="7" t="s">
        <v>25</v>
      </c>
      <c r="B43" s="12"/>
      <c r="C43" s="14"/>
      <c r="D43" s="8">
        <v>32</v>
      </c>
      <c r="E43" s="7">
        <v>0.49</v>
      </c>
      <c r="F43" s="8">
        <v>108</v>
      </c>
      <c r="G43" s="7">
        <v>1.66</v>
      </c>
      <c r="H43" s="8">
        <v>110</v>
      </c>
      <c r="I43" s="7">
        <v>1.68</v>
      </c>
      <c r="J43" s="8">
        <v>28</v>
      </c>
      <c r="K43" s="7">
        <v>0.42</v>
      </c>
      <c r="L43" s="12"/>
      <c r="M43" s="14"/>
      <c r="N43" s="8">
        <v>278</v>
      </c>
      <c r="O43" s="9">
        <v>4.25</v>
      </c>
    </row>
    <row r="44">
      <c r="A44" s="10" t="s">
        <v>13</v>
      </c>
      <c r="B44" s="11"/>
      <c r="C44" s="10"/>
      <c r="D44" s="11">
        <v>6</v>
      </c>
      <c r="E44" s="10">
        <v>0.09</v>
      </c>
      <c r="F44" s="11">
        <v>15</v>
      </c>
      <c r="G44" s="10">
        <v>0.23</v>
      </c>
      <c r="H44" s="11">
        <v>16</v>
      </c>
      <c r="I44" s="10">
        <v>0.24</v>
      </c>
      <c r="J44" s="11">
        <v>4</v>
      </c>
      <c r="K44" s="10">
        <v>0.06</v>
      </c>
      <c r="L44" s="11"/>
      <c r="M44" s="10"/>
      <c r="N44" s="12">
        <v>41</v>
      </c>
      <c r="O44" s="13">
        <v>0.62</v>
      </c>
    </row>
    <row r="45">
      <c r="A45" s="10" t="s">
        <v>14</v>
      </c>
      <c r="B45" s="11"/>
      <c r="C45" s="10"/>
      <c r="D45" s="11">
        <v>8</v>
      </c>
      <c r="E45" s="10">
        <v>0.12</v>
      </c>
      <c r="F45" s="11">
        <v>42</v>
      </c>
      <c r="G45" s="10">
        <v>0.64</v>
      </c>
      <c r="H45" s="11">
        <v>53</v>
      </c>
      <c r="I45" s="10">
        <v>0.81</v>
      </c>
      <c r="J45" s="11">
        <v>14</v>
      </c>
      <c r="K45" s="10">
        <v>0.21</v>
      </c>
      <c r="L45" s="11"/>
      <c r="M45" s="10"/>
      <c r="N45" s="12">
        <v>117</v>
      </c>
      <c r="O45" s="13">
        <v>1.78</v>
      </c>
    </row>
    <row r="46">
      <c r="A46" s="10" t="s">
        <v>15</v>
      </c>
      <c r="B46" s="11"/>
      <c r="C46" s="10"/>
      <c r="D46" s="11">
        <v>11</v>
      </c>
      <c r="E46" s="10">
        <v>0.17</v>
      </c>
      <c r="F46" s="11">
        <v>41</v>
      </c>
      <c r="G46" s="10">
        <v>0.63</v>
      </c>
      <c r="H46" s="11">
        <v>35</v>
      </c>
      <c r="I46" s="10">
        <v>0.54</v>
      </c>
      <c r="J46" s="11">
        <v>10</v>
      </c>
      <c r="K46" s="10">
        <v>0.15</v>
      </c>
      <c r="L46" s="11"/>
      <c r="M46" s="10"/>
      <c r="N46" s="12">
        <v>97</v>
      </c>
      <c r="O46" s="13">
        <v>1.49</v>
      </c>
    </row>
    <row r="47">
      <c r="A47" s="10" t="s">
        <v>16</v>
      </c>
      <c r="B47" s="11"/>
      <c r="C47" s="10"/>
      <c r="D47" s="11">
        <v>7</v>
      </c>
      <c r="E47" s="10">
        <v>0.11</v>
      </c>
      <c r="F47" s="11">
        <v>9</v>
      </c>
      <c r="G47" s="10">
        <v>0.14</v>
      </c>
      <c r="H47" s="11">
        <v>6</v>
      </c>
      <c r="I47" s="10">
        <v>0.09</v>
      </c>
      <c r="J47" s="11"/>
      <c r="K47" s="10"/>
      <c r="L47" s="11"/>
      <c r="M47" s="10"/>
      <c r="N47" s="12">
        <v>22</v>
      </c>
      <c r="O47" s="13">
        <v>0.34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/>
      <c r="I48" s="10"/>
      <c r="J48" s="11"/>
      <c r="K48" s="10"/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8">
        <v>5</v>
      </c>
      <c r="G49" s="7">
        <v>0.08</v>
      </c>
      <c r="H49" s="8">
        <v>17</v>
      </c>
      <c r="I49" s="7">
        <v>0.27</v>
      </c>
      <c r="J49" s="8">
        <v>6</v>
      </c>
      <c r="K49" s="7">
        <v>0.1</v>
      </c>
      <c r="L49" s="12"/>
      <c r="M49" s="14"/>
      <c r="N49" s="8">
        <v>29</v>
      </c>
      <c r="O49" s="9">
        <v>0.47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0.05</v>
      </c>
      <c r="J50" s="11"/>
      <c r="K50" s="10"/>
      <c r="L50" s="11"/>
      <c r="M50" s="10"/>
      <c r="N50" s="12">
        <v>3</v>
      </c>
      <c r="O50" s="13">
        <v>0.05</v>
      </c>
    </row>
    <row r="51">
      <c r="A51" s="10" t="s">
        <v>14</v>
      </c>
      <c r="B51" s="11"/>
      <c r="C51" s="10"/>
      <c r="D51" s="11"/>
      <c r="E51" s="10"/>
      <c r="F51" s="11">
        <v>2</v>
      </c>
      <c r="G51" s="10">
        <v>0.03</v>
      </c>
      <c r="H51" s="11">
        <v>7</v>
      </c>
      <c r="I51" s="10">
        <v>0.11</v>
      </c>
      <c r="J51" s="11">
        <v>1</v>
      </c>
      <c r="K51" s="10">
        <v>0.02</v>
      </c>
      <c r="L51" s="11"/>
      <c r="M51" s="10"/>
      <c r="N51" s="12">
        <v>10</v>
      </c>
      <c r="O51" s="13">
        <v>0.16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0.05</v>
      </c>
      <c r="H52" s="11">
        <v>4</v>
      </c>
      <c r="I52" s="10">
        <v>0.06</v>
      </c>
      <c r="J52" s="11">
        <v>3</v>
      </c>
      <c r="K52" s="10">
        <v>0.05</v>
      </c>
      <c r="L52" s="11"/>
      <c r="M52" s="10"/>
      <c r="N52" s="12">
        <v>10</v>
      </c>
      <c r="O52" s="13">
        <v>0.16</v>
      </c>
    </row>
    <row r="53">
      <c r="A53" s="10" t="s">
        <v>16</v>
      </c>
      <c r="B53" s="11"/>
      <c r="C53" s="10"/>
      <c r="D53" s="11">
        <v>1</v>
      </c>
      <c r="E53" s="10">
        <v>0.02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0.08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17</v>
      </c>
      <c r="G55" s="7">
        <v>0.27</v>
      </c>
      <c r="H55" s="8">
        <v>14</v>
      </c>
      <c r="I55" s="7">
        <v>0.23</v>
      </c>
      <c r="J55" s="8">
        <v>5</v>
      </c>
      <c r="K55" s="7">
        <v>0.08</v>
      </c>
      <c r="L55" s="12"/>
      <c r="M55" s="14"/>
      <c r="N55" s="8">
        <v>40</v>
      </c>
      <c r="O55" s="9">
        <v>0.64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0.05</v>
      </c>
      <c r="H56" s="11">
        <v>3</v>
      </c>
      <c r="I56" s="10">
        <v>0.05</v>
      </c>
      <c r="J56" s="11"/>
      <c r="K56" s="10"/>
      <c r="L56" s="11"/>
      <c r="M56" s="10"/>
      <c r="N56" s="12">
        <v>6</v>
      </c>
      <c r="O56" s="13">
        <v>0.1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0.12</v>
      </c>
      <c r="H57" s="11">
        <v>2</v>
      </c>
      <c r="I57" s="10">
        <v>0.03</v>
      </c>
      <c r="J57" s="11">
        <v>3</v>
      </c>
      <c r="K57" s="10">
        <v>0.05</v>
      </c>
      <c r="L57" s="11"/>
      <c r="M57" s="10"/>
      <c r="N57" s="12">
        <v>15</v>
      </c>
      <c r="O57" s="13">
        <v>0.23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3</v>
      </c>
      <c r="G58" s="10">
        <v>0.05</v>
      </c>
      <c r="H58" s="11">
        <v>3</v>
      </c>
      <c r="I58" s="10">
        <v>0.05</v>
      </c>
      <c r="J58" s="11">
        <v>2</v>
      </c>
      <c r="K58" s="10">
        <v>0.03</v>
      </c>
      <c r="L58" s="11"/>
      <c r="M58" s="10"/>
      <c r="N58" s="12">
        <v>10</v>
      </c>
      <c r="O58" s="13">
        <v>0.16</v>
      </c>
    </row>
    <row r="59">
      <c r="A59" s="10" t="s">
        <v>16</v>
      </c>
      <c r="B59" s="11"/>
      <c r="C59" s="10"/>
      <c r="D59" s="11"/>
      <c r="E59" s="10"/>
      <c r="F59" s="11">
        <v>2</v>
      </c>
      <c r="G59" s="10">
        <v>0.03</v>
      </c>
      <c r="H59" s="11">
        <v>5</v>
      </c>
      <c r="I59" s="10">
        <v>0.08</v>
      </c>
      <c r="J59" s="11"/>
      <c r="K59" s="10"/>
      <c r="L59" s="11"/>
      <c r="M59" s="10"/>
      <c r="N59" s="12">
        <v>7</v>
      </c>
      <c r="O59" s="13">
        <v>0.11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0.06</v>
      </c>
      <c r="J61" s="12"/>
      <c r="K61" s="14"/>
      <c r="L61" s="8">
        <v>1</v>
      </c>
      <c r="M61" s="7">
        <v>0.02</v>
      </c>
      <c r="N61" s="8">
        <v>4</v>
      </c>
      <c r="O61" s="9">
        <v>0.08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>
        <v>1</v>
      </c>
      <c r="M62" s="10">
        <v>0.02</v>
      </c>
      <c r="N62" s="12">
        <v>2</v>
      </c>
      <c r="O62" s="13">
        <v>0.04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0.02</v>
      </c>
      <c r="J64" s="11"/>
      <c r="K64" s="10"/>
      <c r="L64" s="11"/>
      <c r="M64" s="10"/>
      <c r="N64" s="12">
        <v>1</v>
      </c>
      <c r="O64" s="13">
        <v>0.02</v>
      </c>
    </row>
    <row r="65">
      <c r="A65" s="7" t="s">
        <v>29</v>
      </c>
      <c r="B65" s="12"/>
      <c r="C65" s="14"/>
      <c r="D65" s="8">
        <v>1</v>
      </c>
      <c r="E65" s="7">
        <v>0.02</v>
      </c>
      <c r="F65" s="8">
        <v>17</v>
      </c>
      <c r="G65" s="7">
        <v>0.26</v>
      </c>
      <c r="H65" s="8">
        <v>18</v>
      </c>
      <c r="I65" s="7">
        <v>0.29</v>
      </c>
      <c r="J65" s="8">
        <v>17</v>
      </c>
      <c r="K65" s="7">
        <v>0.26</v>
      </c>
      <c r="L65" s="8">
        <v>1</v>
      </c>
      <c r="M65" s="7">
        <v>0.02</v>
      </c>
      <c r="N65" s="8">
        <v>54</v>
      </c>
      <c r="O65" s="9">
        <v>0.85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1</v>
      </c>
      <c r="I66" s="10">
        <v>0.02</v>
      </c>
      <c r="J66" s="11">
        <v>1</v>
      </c>
      <c r="K66" s="10">
        <v>0.02</v>
      </c>
      <c r="L66" s="11">
        <v>1</v>
      </c>
      <c r="M66" s="10">
        <v>0.02</v>
      </c>
      <c r="N66" s="12">
        <v>3</v>
      </c>
      <c r="O66" s="13">
        <v>0.06</v>
      </c>
    </row>
    <row r="67">
      <c r="A67" s="10" t="s">
        <v>14</v>
      </c>
      <c r="B67" s="11"/>
      <c r="C67" s="10"/>
      <c r="D67" s="11"/>
      <c r="E67" s="10"/>
      <c r="F67" s="11">
        <v>4</v>
      </c>
      <c r="G67" s="10">
        <v>0.06</v>
      </c>
      <c r="H67" s="11">
        <v>3</v>
      </c>
      <c r="I67" s="10">
        <v>0.05</v>
      </c>
      <c r="J67" s="11">
        <v>8</v>
      </c>
      <c r="K67" s="10">
        <v>0.12</v>
      </c>
      <c r="L67" s="11"/>
      <c r="M67" s="10"/>
      <c r="N67" s="12">
        <v>15</v>
      </c>
      <c r="O67" s="13">
        <v>0.23</v>
      </c>
    </row>
    <row r="68">
      <c r="A68" s="10" t="s">
        <v>15</v>
      </c>
      <c r="B68" s="11"/>
      <c r="C68" s="10"/>
      <c r="D68" s="11">
        <v>1</v>
      </c>
      <c r="E68" s="10">
        <v>0.02</v>
      </c>
      <c r="F68" s="11">
        <v>9</v>
      </c>
      <c r="G68" s="10">
        <v>0.14</v>
      </c>
      <c r="H68" s="11">
        <v>11</v>
      </c>
      <c r="I68" s="10">
        <v>0.17</v>
      </c>
      <c r="J68" s="11">
        <v>2</v>
      </c>
      <c r="K68" s="10">
        <v>0.03</v>
      </c>
      <c r="L68" s="11"/>
      <c r="M68" s="10"/>
      <c r="N68" s="12">
        <v>23</v>
      </c>
      <c r="O68" s="13">
        <v>0.36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0.07</v>
      </c>
      <c r="J71" s="12"/>
      <c r="K71" s="14"/>
      <c r="L71" s="12"/>
      <c r="M71" s="14"/>
      <c r="N71" s="8">
        <v>6</v>
      </c>
      <c r="O71" s="9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0.05</v>
      </c>
      <c r="J72" s="11"/>
      <c r="K72" s="10"/>
      <c r="L72" s="11"/>
      <c r="M72" s="10"/>
      <c r="N72" s="12">
        <v>3</v>
      </c>
      <c r="O72" s="13">
        <v>0.05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0.02</v>
      </c>
      <c r="J73" s="11"/>
      <c r="K73" s="10"/>
      <c r="L73" s="11"/>
      <c r="M73" s="10"/>
      <c r="N73" s="12">
        <v>3</v>
      </c>
      <c r="O73" s="13">
        <v>0.05</v>
      </c>
    </row>
    <row r="74">
      <c r="A74" s="7" t="s">
        <v>31</v>
      </c>
      <c r="B74" s="12"/>
      <c r="C74" s="14"/>
      <c r="D74" s="8">
        <v>1</v>
      </c>
      <c r="E74" s="7">
        <v>0.02</v>
      </c>
      <c r="F74" s="8">
        <v>3</v>
      </c>
      <c r="G74" s="7">
        <v>0.06</v>
      </c>
      <c r="H74" s="8">
        <v>7</v>
      </c>
      <c r="I74" s="7">
        <v>0.12</v>
      </c>
      <c r="J74" s="8">
        <v>3</v>
      </c>
      <c r="K74" s="7">
        <v>0.06</v>
      </c>
      <c r="L74" s="8">
        <v>2</v>
      </c>
      <c r="M74" s="7">
        <v>0.03</v>
      </c>
      <c r="N74" s="8">
        <v>16</v>
      </c>
      <c r="O74" s="9">
        <v>0.29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0.02</v>
      </c>
      <c r="H75" s="11">
        <v>1</v>
      </c>
      <c r="I75" s="10">
        <v>0.02</v>
      </c>
      <c r="J75" s="11"/>
      <c r="K75" s="10"/>
      <c r="L75" s="11"/>
      <c r="M75" s="10"/>
      <c r="N75" s="12">
        <v>2</v>
      </c>
      <c r="O75" s="13">
        <v>0.04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0.02</v>
      </c>
      <c r="H76" s="11">
        <v>4</v>
      </c>
      <c r="I76" s="10">
        <v>0.06</v>
      </c>
      <c r="J76" s="11">
        <v>1</v>
      </c>
      <c r="K76" s="10">
        <v>0.02</v>
      </c>
      <c r="L76" s="11"/>
      <c r="M76" s="10"/>
      <c r="N76" s="12">
        <v>6</v>
      </c>
      <c r="O76" s="13">
        <v>0.1</v>
      </c>
    </row>
    <row r="77">
      <c r="A77" s="10" t="s">
        <v>15</v>
      </c>
      <c r="B77" s="11"/>
      <c r="C77" s="10"/>
      <c r="D77" s="11">
        <v>1</v>
      </c>
      <c r="E77" s="10">
        <v>0.02</v>
      </c>
      <c r="F77" s="11">
        <v>1</v>
      </c>
      <c r="G77" s="10">
        <v>0.02</v>
      </c>
      <c r="H77" s="11">
        <v>1</v>
      </c>
      <c r="I77" s="10">
        <v>0.02</v>
      </c>
      <c r="J77" s="11">
        <v>1</v>
      </c>
      <c r="K77" s="10">
        <v>0.02</v>
      </c>
      <c r="L77" s="11">
        <v>2</v>
      </c>
      <c r="M77" s="10">
        <v>0.03</v>
      </c>
      <c r="N77" s="12">
        <v>6</v>
      </c>
      <c r="O77" s="13">
        <v>0.11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0.02</v>
      </c>
      <c r="J78" s="11">
        <v>1</v>
      </c>
      <c r="K78" s="10">
        <v>0.02</v>
      </c>
      <c r="L78" s="11"/>
      <c r="M78" s="10"/>
      <c r="N78" s="12">
        <v>2</v>
      </c>
      <c r="O78" s="13">
        <v>0.04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0.05</v>
      </c>
      <c r="H79" s="8">
        <v>3</v>
      </c>
      <c r="I79" s="7">
        <v>0.06</v>
      </c>
      <c r="J79" s="8">
        <v>3</v>
      </c>
      <c r="K79" s="7">
        <v>0.05</v>
      </c>
      <c r="L79" s="8">
        <v>3</v>
      </c>
      <c r="M79" s="7">
        <v>0.05</v>
      </c>
      <c r="N79" s="8">
        <v>12</v>
      </c>
      <c r="O79" s="9">
        <v>0.21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>
        <v>1</v>
      </c>
      <c r="K81" s="10">
        <v>0.02</v>
      </c>
      <c r="L81" s="11">
        <v>1</v>
      </c>
      <c r="M81" s="10">
        <v>0.02</v>
      </c>
      <c r="N81" s="12">
        <v>4</v>
      </c>
      <c r="O81" s="13">
        <v>0.08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0.02</v>
      </c>
      <c r="J82" s="11">
        <v>2</v>
      </c>
      <c r="K82" s="10">
        <v>0.03</v>
      </c>
      <c r="L82" s="11"/>
      <c r="M82" s="10"/>
      <c r="N82" s="12">
        <v>5</v>
      </c>
      <c r="O82" s="13">
        <v>0.08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/>
      <c r="K83" s="10"/>
      <c r="L83" s="11"/>
      <c r="M83" s="10"/>
      <c r="N83" s="12">
        <v>1</v>
      </c>
      <c r="O83" s="13">
        <v>0.02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0.11</v>
      </c>
      <c r="H84" s="8">
        <v>31</v>
      </c>
      <c r="I84" s="7">
        <v>0.48</v>
      </c>
      <c r="J84" s="8">
        <v>7</v>
      </c>
      <c r="K84" s="7">
        <v>0.12</v>
      </c>
      <c r="L84" s="8">
        <v>1</v>
      </c>
      <c r="M84" s="7">
        <v>0.02</v>
      </c>
      <c r="N84" s="8">
        <v>46</v>
      </c>
      <c r="O84" s="9">
        <v>0.73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0.32</v>
      </c>
      <c r="J85" s="11">
        <v>1</v>
      </c>
      <c r="K85" s="10">
        <v>0.02</v>
      </c>
      <c r="L85" s="11"/>
      <c r="M85" s="10"/>
      <c r="N85" s="12">
        <v>24</v>
      </c>
      <c r="O85" s="13">
        <v>0.37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0.05</v>
      </c>
      <c r="H86" s="11">
        <v>9</v>
      </c>
      <c r="I86" s="10">
        <v>0.14</v>
      </c>
      <c r="J86" s="11">
        <v>3</v>
      </c>
      <c r="K86" s="10">
        <v>0.05</v>
      </c>
      <c r="L86" s="11">
        <v>1</v>
      </c>
      <c r="M86" s="10">
        <v>0.02</v>
      </c>
      <c r="N86" s="12">
        <v>16</v>
      </c>
      <c r="O86" s="13">
        <v>0.26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0.02</v>
      </c>
      <c r="L88" s="11"/>
      <c r="M88" s="10"/>
      <c r="N88" s="12">
        <v>1</v>
      </c>
      <c r="O88" s="13">
        <v>0.02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0.02</v>
      </c>
      <c r="J89" s="8">
        <v>1</v>
      </c>
      <c r="K89" s="7">
        <v>0.02</v>
      </c>
      <c r="L89" s="12"/>
      <c r="M89" s="14"/>
      <c r="N89" s="8">
        <v>2</v>
      </c>
      <c r="O89" s="9">
        <v>0.04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0.02</v>
      </c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0.02</v>
      </c>
      <c r="L91" s="11"/>
      <c r="M91" s="10"/>
      <c r="N91" s="12">
        <v>1</v>
      </c>
      <c r="O91" s="13">
        <v>0.02</v>
      </c>
    </row>
    <row r="92">
      <c r="A92" s="15" t="s">
        <v>11</v>
      </c>
      <c r="B92" s="16">
        <v>69</v>
      </c>
      <c r="C92" s="15">
        <v>1.08</v>
      </c>
      <c r="D92" s="16">
        <v>1698</v>
      </c>
      <c r="E92" s="15">
        <v>26.01</v>
      </c>
      <c r="F92" s="16">
        <v>2916</v>
      </c>
      <c r="G92" s="15">
        <v>44.67</v>
      </c>
      <c r="H92" s="16">
        <v>1107</v>
      </c>
      <c r="I92" s="15">
        <v>17.04</v>
      </c>
      <c r="J92" s="16">
        <v>434</v>
      </c>
      <c r="K92" s="15">
        <v>6.69</v>
      </c>
      <c r="L92" s="16">
        <v>40</v>
      </c>
      <c r="M92" s="15">
        <v>0.66</v>
      </c>
      <c r="N92" s="16">
        <v>6264</v>
      </c>
      <c r="O92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11.6</v>
      </c>
      <c r="F4" s="17">
        <v>1444.622</v>
      </c>
      <c r="G4" s="7">
        <v>15.88</v>
      </c>
      <c r="H4" s="17">
        <v>389.04</v>
      </c>
      <c r="I4" s="7">
        <v>4.26</v>
      </c>
      <c r="J4" s="17">
        <v>225.92</v>
      </c>
      <c r="K4" s="7">
        <v>2.48</v>
      </c>
      <c r="L4" s="17">
        <v>19.62</v>
      </c>
      <c r="M4" s="7">
        <v>0.22</v>
      </c>
      <c r="N4" s="17">
        <v>3187.435</v>
      </c>
      <c r="O4" s="9">
        <v>35.03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3.32</v>
      </c>
      <c r="F5" s="18">
        <v>661.336</v>
      </c>
      <c r="G5" s="10">
        <v>7.27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1167.436</v>
      </c>
      <c r="O5" s="13">
        <v>12.84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3.92</v>
      </c>
      <c r="F6" s="18">
        <v>480.058</v>
      </c>
      <c r="G6" s="10">
        <v>5.28</v>
      </c>
      <c r="H6" s="18">
        <v>143.08</v>
      </c>
      <c r="I6" s="10">
        <v>1.57</v>
      </c>
      <c r="J6" s="18">
        <v>117.38</v>
      </c>
      <c r="K6" s="10">
        <v>1.29</v>
      </c>
      <c r="L6" s="18">
        <v>4.14</v>
      </c>
      <c r="M6" s="10">
        <v>0.05</v>
      </c>
      <c r="N6" s="19">
        <v>1120.778</v>
      </c>
      <c r="O6" s="13">
        <v>12.33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3.04</v>
      </c>
      <c r="F7" s="18">
        <v>275.598</v>
      </c>
      <c r="G7" s="10">
        <v>3.03</v>
      </c>
      <c r="H7" s="18">
        <v>103.24</v>
      </c>
      <c r="I7" s="10">
        <v>1.13</v>
      </c>
      <c r="J7" s="18">
        <v>41.88</v>
      </c>
      <c r="K7" s="10">
        <v>0.46</v>
      </c>
      <c r="L7" s="18">
        <v>11.3</v>
      </c>
      <c r="M7" s="10">
        <v>0.12</v>
      </c>
      <c r="N7" s="19">
        <v>724.501</v>
      </c>
      <c r="O7" s="13">
        <v>7.95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0.35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1.56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0.8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2.84</v>
      </c>
      <c r="F17" s="17">
        <v>433.84</v>
      </c>
      <c r="G17" s="7">
        <v>4.76</v>
      </c>
      <c r="H17" s="17">
        <v>151.9</v>
      </c>
      <c r="I17" s="7">
        <v>1.68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9.82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1.03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2.22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1.05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3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0.59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0.18</v>
      </c>
      <c r="L24" s="19"/>
      <c r="M24" s="14"/>
      <c r="N24" s="17">
        <v>48.02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610.93</v>
      </c>
      <c r="E29" s="7">
        <v>6.71</v>
      </c>
      <c r="F29" s="17">
        <v>1453.73</v>
      </c>
      <c r="G29" s="7">
        <v>15.96</v>
      </c>
      <c r="H29" s="17">
        <v>525.59</v>
      </c>
      <c r="I29" s="7">
        <v>5.78</v>
      </c>
      <c r="J29" s="17">
        <v>125.17</v>
      </c>
      <c r="K29" s="7">
        <v>1.38</v>
      </c>
      <c r="L29" s="17">
        <v>9.1</v>
      </c>
      <c r="M29" s="7">
        <v>0.1</v>
      </c>
      <c r="N29" s="17">
        <v>2742.94</v>
      </c>
      <c r="O29" s="9">
        <v>30.14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480.01</v>
      </c>
      <c r="G30" s="10">
        <v>5.27</v>
      </c>
      <c r="H30" s="18">
        <v>99.29</v>
      </c>
      <c r="I30" s="10">
        <v>1.09</v>
      </c>
      <c r="J30" s="18">
        <v>45.66</v>
      </c>
      <c r="K30" s="10">
        <v>0.5</v>
      </c>
      <c r="L30" s="18">
        <v>3</v>
      </c>
      <c r="M30" s="10">
        <v>0.03</v>
      </c>
      <c r="N30" s="19">
        <v>818.76</v>
      </c>
      <c r="O30" s="13">
        <v>8.99</v>
      </c>
    </row>
    <row r="31">
      <c r="A31" s="10" t="s">
        <v>14</v>
      </c>
      <c r="B31" s="18">
        <v>10.71</v>
      </c>
      <c r="C31" s="10">
        <v>0.12</v>
      </c>
      <c r="D31" s="18">
        <v>192.38</v>
      </c>
      <c r="E31" s="10">
        <v>2.11</v>
      </c>
      <c r="F31" s="18">
        <v>495.33</v>
      </c>
      <c r="G31" s="10">
        <v>5.44</v>
      </c>
      <c r="H31" s="18">
        <v>224.67</v>
      </c>
      <c r="I31" s="10">
        <v>2.47</v>
      </c>
      <c r="J31" s="18">
        <v>35.25</v>
      </c>
      <c r="K31" s="10">
        <v>0.39</v>
      </c>
      <c r="L31" s="18">
        <v>3.06</v>
      </c>
      <c r="M31" s="10">
        <v>0.03</v>
      </c>
      <c r="N31" s="19">
        <v>961.4</v>
      </c>
      <c r="O31" s="13">
        <v>10.56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419.94</v>
      </c>
      <c r="G32" s="10">
        <v>4.61</v>
      </c>
      <c r="H32" s="18">
        <v>186.4</v>
      </c>
      <c r="I32" s="10">
        <v>2.05</v>
      </c>
      <c r="J32" s="18">
        <v>38.11</v>
      </c>
      <c r="K32" s="10">
        <v>0.42</v>
      </c>
      <c r="L32" s="18">
        <v>1.51</v>
      </c>
      <c r="M32" s="10">
        <v>0.02</v>
      </c>
      <c r="N32" s="19">
        <v>835.61</v>
      </c>
      <c r="O32" s="13">
        <v>9.18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34.6</v>
      </c>
      <c r="G37" s="7">
        <v>0.38</v>
      </c>
      <c r="H37" s="17">
        <v>33.64</v>
      </c>
      <c r="I37" s="7">
        <v>0.37</v>
      </c>
      <c r="J37" s="17">
        <v>18.34</v>
      </c>
      <c r="K37" s="7">
        <v>0.2</v>
      </c>
      <c r="L37" s="17">
        <v>3.74</v>
      </c>
      <c r="M37" s="7">
        <v>0.04</v>
      </c>
      <c r="N37" s="17">
        <v>95.15</v>
      </c>
      <c r="O37" s="9">
        <v>1.05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0.23</v>
      </c>
      <c r="H39" s="18">
        <v>22.85</v>
      </c>
      <c r="I39" s="10">
        <v>0.25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0.6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6.64</v>
      </c>
      <c r="G40" s="10">
        <v>0.07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24.52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3.23</v>
      </c>
      <c r="G41" s="10">
        <v>0.04</v>
      </c>
      <c r="H41" s="18">
        <v>1.84</v>
      </c>
      <c r="I41" s="10">
        <v>0.02</v>
      </c>
      <c r="J41" s="18"/>
      <c r="K41" s="10"/>
      <c r="L41" s="18"/>
      <c r="M41" s="10"/>
      <c r="N41" s="19">
        <v>5.07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1.69</v>
      </c>
      <c r="G42" s="10">
        <v>0.02</v>
      </c>
      <c r="H42" s="18"/>
      <c r="I42" s="10"/>
      <c r="J42" s="18">
        <v>1.78</v>
      </c>
      <c r="K42" s="10">
        <v>0.02</v>
      </c>
      <c r="L42" s="18"/>
      <c r="M42" s="10"/>
      <c r="N42" s="19">
        <v>3.47</v>
      </c>
      <c r="O42" s="13">
        <v>0.04</v>
      </c>
    </row>
    <row r="43">
      <c r="A43" s="7" t="s">
        <v>25</v>
      </c>
      <c r="B43" s="19"/>
      <c r="C43" s="14"/>
      <c r="D43" s="17">
        <v>65.01</v>
      </c>
      <c r="E43" s="7">
        <v>0.71</v>
      </c>
      <c r="F43" s="17">
        <v>219.46</v>
      </c>
      <c r="G43" s="7">
        <v>2.4</v>
      </c>
      <c r="H43" s="17">
        <v>224.16</v>
      </c>
      <c r="I43" s="7">
        <v>2.47</v>
      </c>
      <c r="J43" s="17">
        <v>56.64</v>
      </c>
      <c r="K43" s="7">
        <v>0.62</v>
      </c>
      <c r="L43" s="19"/>
      <c r="M43" s="14"/>
      <c r="N43" s="17">
        <v>565.27</v>
      </c>
      <c r="O43" s="9">
        <v>6.2</v>
      </c>
    </row>
    <row r="44">
      <c r="A44" s="10" t="s">
        <v>13</v>
      </c>
      <c r="B44" s="18"/>
      <c r="C44" s="10"/>
      <c r="D44" s="18">
        <v>12.21</v>
      </c>
      <c r="E44" s="10">
        <v>0.13</v>
      </c>
      <c r="F44" s="18">
        <v>30.47</v>
      </c>
      <c r="G44" s="10">
        <v>0.33</v>
      </c>
      <c r="H44" s="18">
        <v>32.53</v>
      </c>
      <c r="I44" s="10">
        <v>0.36</v>
      </c>
      <c r="J44" s="18">
        <v>8.16</v>
      </c>
      <c r="K44" s="10">
        <v>0.09</v>
      </c>
      <c r="L44" s="18"/>
      <c r="M44" s="10"/>
      <c r="N44" s="19">
        <v>83.37</v>
      </c>
      <c r="O44" s="13">
        <v>0.91</v>
      </c>
    </row>
    <row r="45">
      <c r="A45" s="10" t="s">
        <v>14</v>
      </c>
      <c r="B45" s="18"/>
      <c r="C45" s="10"/>
      <c r="D45" s="18">
        <v>16.26</v>
      </c>
      <c r="E45" s="10">
        <v>0.18</v>
      </c>
      <c r="F45" s="18">
        <v>85.44</v>
      </c>
      <c r="G45" s="10">
        <v>0.94</v>
      </c>
      <c r="H45" s="18">
        <v>107.96</v>
      </c>
      <c r="I45" s="10">
        <v>1.19</v>
      </c>
      <c r="J45" s="18">
        <v>28.34</v>
      </c>
      <c r="K45" s="10">
        <v>0.31</v>
      </c>
      <c r="L45" s="18"/>
      <c r="M45" s="10"/>
      <c r="N45" s="19">
        <v>238</v>
      </c>
      <c r="O45" s="13">
        <v>2.62</v>
      </c>
    </row>
    <row r="46">
      <c r="A46" s="10" t="s">
        <v>15</v>
      </c>
      <c r="B46" s="18"/>
      <c r="C46" s="10"/>
      <c r="D46" s="18">
        <v>22.29</v>
      </c>
      <c r="E46" s="10">
        <v>0.24</v>
      </c>
      <c r="F46" s="18">
        <v>83.22</v>
      </c>
      <c r="G46" s="10">
        <v>0.91</v>
      </c>
      <c r="H46" s="18">
        <v>71.31</v>
      </c>
      <c r="I46" s="10">
        <v>0.78</v>
      </c>
      <c r="J46" s="18">
        <v>20.14</v>
      </c>
      <c r="K46" s="10">
        <v>0.22</v>
      </c>
      <c r="L46" s="18"/>
      <c r="M46" s="10"/>
      <c r="N46" s="19">
        <v>196.96</v>
      </c>
      <c r="O46" s="13">
        <v>2.15</v>
      </c>
    </row>
    <row r="47">
      <c r="A47" s="10" t="s">
        <v>16</v>
      </c>
      <c r="B47" s="18"/>
      <c r="C47" s="10"/>
      <c r="D47" s="18">
        <v>14.25</v>
      </c>
      <c r="E47" s="10">
        <v>0.16</v>
      </c>
      <c r="F47" s="18">
        <v>18.33</v>
      </c>
      <c r="G47" s="10">
        <v>0.2</v>
      </c>
      <c r="H47" s="18">
        <v>12.36</v>
      </c>
      <c r="I47" s="10">
        <v>0.14</v>
      </c>
      <c r="J47" s="18"/>
      <c r="K47" s="10"/>
      <c r="L47" s="18"/>
      <c r="M47" s="10"/>
      <c r="N47" s="19">
        <v>44.94</v>
      </c>
      <c r="O47" s="13">
        <v>0.5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11.14</v>
      </c>
      <c r="G49" s="7">
        <v>0.12</v>
      </c>
      <c r="H49" s="17">
        <v>37.01</v>
      </c>
      <c r="I49" s="7">
        <v>0.4</v>
      </c>
      <c r="J49" s="17">
        <v>13.7</v>
      </c>
      <c r="K49" s="7">
        <v>0.15</v>
      </c>
      <c r="L49" s="19"/>
      <c r="M49" s="14"/>
      <c r="N49" s="17">
        <v>63.96</v>
      </c>
      <c r="O49" s="9">
        <v>0.69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4.34</v>
      </c>
      <c r="G51" s="10">
        <v>0.05</v>
      </c>
      <c r="H51" s="18">
        <v>15.3</v>
      </c>
      <c r="I51" s="10">
        <v>0.17</v>
      </c>
      <c r="J51" s="18">
        <v>2.15</v>
      </c>
      <c r="K51" s="10">
        <v>0.02</v>
      </c>
      <c r="L51" s="18"/>
      <c r="M51" s="10"/>
      <c r="N51" s="19">
        <v>21.79</v>
      </c>
      <c r="O51" s="13">
        <v>0.24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0.08</v>
      </c>
      <c r="L52" s="18"/>
      <c r="M52" s="10"/>
      <c r="N52" s="19">
        <v>22.34</v>
      </c>
      <c r="O52" s="13">
        <v>0.24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0.12</v>
      </c>
      <c r="F55" s="17">
        <v>42.9</v>
      </c>
      <c r="G55" s="7">
        <v>0.47</v>
      </c>
      <c r="H55" s="17">
        <v>35.27</v>
      </c>
      <c r="I55" s="7">
        <v>0.39</v>
      </c>
      <c r="J55" s="17">
        <v>12.67</v>
      </c>
      <c r="K55" s="7">
        <v>0.14</v>
      </c>
      <c r="L55" s="19"/>
      <c r="M55" s="14"/>
      <c r="N55" s="17">
        <v>101.07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0.06</v>
      </c>
      <c r="F57" s="18">
        <v>20.17</v>
      </c>
      <c r="G57" s="10">
        <v>0.22</v>
      </c>
      <c r="H57" s="18">
        <v>5.05</v>
      </c>
      <c r="I57" s="10">
        <v>0.06</v>
      </c>
      <c r="J57" s="18">
        <v>7.53</v>
      </c>
      <c r="K57" s="10">
        <v>0.08</v>
      </c>
      <c r="L57" s="18"/>
      <c r="M57" s="10"/>
      <c r="N57" s="19">
        <v>37.81</v>
      </c>
      <c r="O57" s="13">
        <v>0.42</v>
      </c>
    </row>
    <row r="58">
      <c r="A58" s="10" t="s">
        <v>15</v>
      </c>
      <c r="B58" s="18"/>
      <c r="C58" s="10"/>
      <c r="D58" s="18">
        <v>5.17</v>
      </c>
      <c r="E58" s="10">
        <v>0.06</v>
      </c>
      <c r="F58" s="18">
        <v>7.53</v>
      </c>
      <c r="G58" s="10">
        <v>0.08</v>
      </c>
      <c r="H58" s="18">
        <v>7.53</v>
      </c>
      <c r="I58" s="10">
        <v>0.08</v>
      </c>
      <c r="J58" s="18">
        <v>5.14</v>
      </c>
      <c r="K58" s="10">
        <v>0.06</v>
      </c>
      <c r="L58" s="18"/>
      <c r="M58" s="10"/>
      <c r="N58" s="19">
        <v>25.37</v>
      </c>
      <c r="O58" s="13">
        <v>0.28</v>
      </c>
    </row>
    <row r="59">
      <c r="A59" s="10" t="s">
        <v>16</v>
      </c>
      <c r="B59" s="18"/>
      <c r="C59" s="10"/>
      <c r="D59" s="18"/>
      <c r="E59" s="10"/>
      <c r="F59" s="18">
        <v>5.19</v>
      </c>
      <c r="G59" s="10">
        <v>0.06</v>
      </c>
      <c r="H59" s="18">
        <v>12.61</v>
      </c>
      <c r="I59" s="10">
        <v>0.14</v>
      </c>
      <c r="J59" s="18"/>
      <c r="K59" s="10"/>
      <c r="L59" s="18"/>
      <c r="M59" s="10"/>
      <c r="N59" s="19">
        <v>17.8</v>
      </c>
      <c r="O59" s="13">
        <v>0.2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7">
        <v>3.02</v>
      </c>
      <c r="E65" s="7">
        <v>0.03</v>
      </c>
      <c r="F65" s="17">
        <v>51.77</v>
      </c>
      <c r="G65" s="7">
        <v>0.56</v>
      </c>
      <c r="H65" s="17">
        <v>54.85</v>
      </c>
      <c r="I65" s="7">
        <v>0.6</v>
      </c>
      <c r="J65" s="17">
        <v>51.8</v>
      </c>
      <c r="K65" s="7">
        <v>0.57</v>
      </c>
      <c r="L65" s="17">
        <v>3.01</v>
      </c>
      <c r="M65" s="7">
        <v>0.03</v>
      </c>
      <c r="N65" s="17">
        <v>164.45</v>
      </c>
      <c r="O65" s="9">
        <v>1.79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3.05</v>
      </c>
      <c r="I66" s="10">
        <v>0.03</v>
      </c>
      <c r="J66" s="18">
        <v>3</v>
      </c>
      <c r="K66" s="10">
        <v>0.03</v>
      </c>
      <c r="L66" s="18">
        <v>3.01</v>
      </c>
      <c r="M66" s="10">
        <v>0.03</v>
      </c>
      <c r="N66" s="19">
        <v>9.06</v>
      </c>
      <c r="O66" s="13">
        <v>0.09</v>
      </c>
    </row>
    <row r="67">
      <c r="A67" s="10" t="s">
        <v>14</v>
      </c>
      <c r="B67" s="18"/>
      <c r="C67" s="10"/>
      <c r="D67" s="18"/>
      <c r="E67" s="10"/>
      <c r="F67" s="18">
        <v>12.13</v>
      </c>
      <c r="G67" s="10">
        <v>0.13</v>
      </c>
      <c r="H67" s="18">
        <v>9.23</v>
      </c>
      <c r="I67" s="10">
        <v>0.1</v>
      </c>
      <c r="J67" s="18">
        <v>24.47</v>
      </c>
      <c r="K67" s="10">
        <v>0.27</v>
      </c>
      <c r="L67" s="18"/>
      <c r="M67" s="10"/>
      <c r="N67" s="19">
        <v>45.83</v>
      </c>
      <c r="O67" s="13">
        <v>0.5</v>
      </c>
    </row>
    <row r="68">
      <c r="A68" s="10" t="s">
        <v>15</v>
      </c>
      <c r="B68" s="18"/>
      <c r="C68" s="10"/>
      <c r="D68" s="18">
        <v>3.02</v>
      </c>
      <c r="E68" s="10">
        <v>0.03</v>
      </c>
      <c r="F68" s="18">
        <v>27.47</v>
      </c>
      <c r="G68" s="10">
        <v>0.3</v>
      </c>
      <c r="H68" s="18">
        <v>33.49</v>
      </c>
      <c r="I68" s="10">
        <v>0.37</v>
      </c>
      <c r="J68" s="18">
        <v>6.07</v>
      </c>
      <c r="K68" s="10">
        <v>0.07</v>
      </c>
      <c r="L68" s="18"/>
      <c r="M68" s="10"/>
      <c r="N68" s="19">
        <v>70.05</v>
      </c>
      <c r="O68" s="13">
        <v>0.77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0.07</v>
      </c>
      <c r="J69" s="18">
        <v>18.26</v>
      </c>
      <c r="K69" s="10">
        <v>0.2</v>
      </c>
      <c r="L69" s="18"/>
      <c r="M69" s="10"/>
      <c r="N69" s="19">
        <v>36.51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0.28</v>
      </c>
      <c r="J74" s="17">
        <v>10.61</v>
      </c>
      <c r="K74" s="7">
        <v>0.12</v>
      </c>
      <c r="L74" s="17">
        <v>7.07</v>
      </c>
      <c r="M74" s="7">
        <v>0.08</v>
      </c>
      <c r="N74" s="17">
        <v>56.63</v>
      </c>
      <c r="O74" s="9">
        <v>0.64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0.16</v>
      </c>
      <c r="J76" s="18">
        <v>3.54</v>
      </c>
      <c r="K76" s="10">
        <v>0.04</v>
      </c>
      <c r="L76" s="18"/>
      <c r="M76" s="10"/>
      <c r="N76" s="19">
        <v>21.28</v>
      </c>
      <c r="O76" s="13">
        <v>0.24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0.08</v>
      </c>
      <c r="N77" s="19">
        <v>21.23</v>
      </c>
      <c r="O77" s="13">
        <v>0.24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0.14</v>
      </c>
      <c r="H79" s="17">
        <v>12.1</v>
      </c>
      <c r="I79" s="7">
        <v>0.12</v>
      </c>
      <c r="J79" s="17">
        <v>12.11</v>
      </c>
      <c r="K79" s="7">
        <v>0.13</v>
      </c>
      <c r="L79" s="17">
        <v>12.22</v>
      </c>
      <c r="M79" s="7">
        <v>0.13</v>
      </c>
      <c r="N79" s="17">
        <v>48.65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0.05</v>
      </c>
      <c r="H81" s="18">
        <v>4</v>
      </c>
      <c r="I81" s="10">
        <v>0.04</v>
      </c>
      <c r="J81" s="18">
        <v>4.01</v>
      </c>
      <c r="K81" s="10">
        <v>0.04</v>
      </c>
      <c r="L81" s="18">
        <v>4.07</v>
      </c>
      <c r="M81" s="10">
        <v>0.04</v>
      </c>
      <c r="N81" s="19">
        <v>16.18</v>
      </c>
      <c r="O81" s="13">
        <v>0.17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0.09</v>
      </c>
      <c r="H82" s="18">
        <v>4.05</v>
      </c>
      <c r="I82" s="10">
        <v>0.04</v>
      </c>
      <c r="J82" s="18">
        <v>8.1</v>
      </c>
      <c r="K82" s="10">
        <v>0.09</v>
      </c>
      <c r="L82" s="18"/>
      <c r="M82" s="10"/>
      <c r="N82" s="19">
        <v>20.27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0.39</v>
      </c>
      <c r="H84" s="17">
        <v>156.85</v>
      </c>
      <c r="I84" s="7">
        <v>1.73</v>
      </c>
      <c r="J84" s="17">
        <v>35.21</v>
      </c>
      <c r="K84" s="7">
        <v>0.4</v>
      </c>
      <c r="L84" s="17">
        <v>5.03</v>
      </c>
      <c r="M84" s="7">
        <v>0.06</v>
      </c>
      <c r="N84" s="17">
        <v>232.37</v>
      </c>
      <c r="O84" s="9">
        <v>2.58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0.11</v>
      </c>
      <c r="H85" s="18">
        <v>106.36</v>
      </c>
      <c r="I85" s="10">
        <v>1.17</v>
      </c>
      <c r="J85" s="18">
        <v>5.05</v>
      </c>
      <c r="K85" s="10">
        <v>0.06</v>
      </c>
      <c r="L85" s="18"/>
      <c r="M85" s="10"/>
      <c r="N85" s="19">
        <v>121.44</v>
      </c>
      <c r="O85" s="13">
        <v>1.34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0.17</v>
      </c>
      <c r="H86" s="18">
        <v>45.44</v>
      </c>
      <c r="I86" s="10">
        <v>0.5</v>
      </c>
      <c r="J86" s="18">
        <v>15.05</v>
      </c>
      <c r="K86" s="10">
        <v>0.17</v>
      </c>
      <c r="L86" s="18">
        <v>5.03</v>
      </c>
      <c r="M86" s="10">
        <v>0.06</v>
      </c>
      <c r="N86" s="19">
        <v>80.66</v>
      </c>
      <c r="O86" s="13">
        <v>0.9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0.06</v>
      </c>
      <c r="J87" s="18">
        <v>10.09</v>
      </c>
      <c r="K87" s="10">
        <v>0.11</v>
      </c>
      <c r="L87" s="18"/>
      <c r="M87" s="10"/>
      <c r="N87" s="19">
        <v>25.25</v>
      </c>
      <c r="O87" s="13">
        <v>0.28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0.06</v>
      </c>
      <c r="L88" s="18"/>
      <c r="M88" s="10"/>
      <c r="N88" s="19">
        <v>5.02</v>
      </c>
      <c r="O88" s="13">
        <v>0.06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0.07</v>
      </c>
      <c r="J89" s="17">
        <v>6.05</v>
      </c>
      <c r="K89" s="7">
        <v>0.07</v>
      </c>
      <c r="L89" s="19"/>
      <c r="M89" s="14"/>
      <c r="N89" s="17">
        <v>12.08</v>
      </c>
      <c r="O89" s="9">
        <v>0.14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0.07</v>
      </c>
      <c r="J90" s="18"/>
      <c r="K90" s="10"/>
      <c r="L90" s="18"/>
      <c r="M90" s="10"/>
      <c r="N90" s="19">
        <v>6.03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0.07</v>
      </c>
      <c r="L91" s="18"/>
      <c r="M91" s="10"/>
      <c r="N91" s="19">
        <v>6.05</v>
      </c>
      <c r="O91" s="13">
        <v>0.07</v>
      </c>
    </row>
    <row r="92">
      <c r="A92" s="15" t="s">
        <v>11</v>
      </c>
      <c r="B92" s="20">
        <v>79.01</v>
      </c>
      <c r="C92" s="15">
        <v>0.88</v>
      </c>
      <c r="D92" s="20">
        <v>2055.463</v>
      </c>
      <c r="E92" s="15">
        <v>22.58</v>
      </c>
      <c r="F92" s="20">
        <v>3823.342</v>
      </c>
      <c r="G92" s="15">
        <v>41.99</v>
      </c>
      <c r="H92" s="20">
        <v>1720.06</v>
      </c>
      <c r="I92" s="15">
        <v>18.88</v>
      </c>
      <c r="J92" s="20">
        <v>637.25</v>
      </c>
      <c r="K92" s="15">
        <v>7.04</v>
      </c>
      <c r="L92" s="20">
        <v>68.63</v>
      </c>
      <c r="M92" s="15">
        <v>0.75</v>
      </c>
      <c r="N92" s="20">
        <v>8383.755</v>
      </c>
      <c r="O92" s="15">
        <v>92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0.91</v>
      </c>
      <c r="D4" s="17">
        <v>97484.51</v>
      </c>
      <c r="E4" s="7">
        <v>11</v>
      </c>
      <c r="F4" s="17">
        <v>131492.73</v>
      </c>
      <c r="G4" s="7">
        <v>14.84</v>
      </c>
      <c r="H4" s="17">
        <v>35898.49</v>
      </c>
      <c r="I4" s="7">
        <v>4.05</v>
      </c>
      <c r="J4" s="17">
        <v>21202.01</v>
      </c>
      <c r="K4" s="7">
        <v>2.39</v>
      </c>
      <c r="L4" s="17">
        <v>1383.39</v>
      </c>
      <c r="M4" s="7">
        <v>0.15</v>
      </c>
      <c r="N4" s="17">
        <v>295530.45</v>
      </c>
      <c r="O4" s="9">
        <v>33.34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60609.38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109804.04</v>
      </c>
      <c r="O5" s="13">
        <v>12.39</v>
      </c>
    </row>
    <row r="6">
      <c r="A6" s="10" t="s">
        <v>14</v>
      </c>
      <c r="B6" s="18">
        <v>3057.03</v>
      </c>
      <c r="C6" s="10">
        <v>0.35</v>
      </c>
      <c r="D6" s="18">
        <v>32954.58</v>
      </c>
      <c r="E6" s="10">
        <v>3.72</v>
      </c>
      <c r="F6" s="18">
        <v>44563.54</v>
      </c>
      <c r="G6" s="10">
        <v>5.03</v>
      </c>
      <c r="H6" s="18">
        <v>13837.02</v>
      </c>
      <c r="I6" s="10">
        <v>1.56</v>
      </c>
      <c r="J6" s="18">
        <v>11542.52</v>
      </c>
      <c r="K6" s="10">
        <v>1.3</v>
      </c>
      <c r="L6" s="18">
        <v>298.73</v>
      </c>
      <c r="M6" s="10">
        <v>0.03</v>
      </c>
      <c r="N6" s="19">
        <v>106253.42</v>
      </c>
      <c r="O6" s="13">
        <v>11.99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2.88</v>
      </c>
      <c r="F7" s="18">
        <v>24301.11</v>
      </c>
      <c r="G7" s="10">
        <v>2.74</v>
      </c>
      <c r="H7" s="18">
        <v>9062.34</v>
      </c>
      <c r="I7" s="10">
        <v>1.02</v>
      </c>
      <c r="J7" s="18">
        <v>3672.24</v>
      </c>
      <c r="K7" s="10">
        <v>0.41</v>
      </c>
      <c r="L7" s="18">
        <v>804.7</v>
      </c>
      <c r="M7" s="10">
        <v>0.09</v>
      </c>
      <c r="N7" s="19">
        <v>65513.77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0.41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1.52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0.85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2.74</v>
      </c>
      <c r="F17" s="17">
        <v>33647.54</v>
      </c>
      <c r="G17" s="7">
        <v>3.8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8.32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1.02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2.59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1.57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3.06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62796.92</v>
      </c>
      <c r="E29" s="7">
        <v>7.09</v>
      </c>
      <c r="F29" s="17">
        <v>135330.21</v>
      </c>
      <c r="G29" s="7">
        <v>15.26</v>
      </c>
      <c r="H29" s="17">
        <v>49122.53</v>
      </c>
      <c r="I29" s="7">
        <v>5.54</v>
      </c>
      <c r="J29" s="17">
        <v>11144.88</v>
      </c>
      <c r="K29" s="7">
        <v>1.26</v>
      </c>
      <c r="L29" s="17">
        <v>624.74</v>
      </c>
      <c r="M29" s="7">
        <v>0.06</v>
      </c>
      <c r="N29" s="17">
        <v>262382.73</v>
      </c>
      <c r="O29" s="9">
        <v>29.59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45918.61</v>
      </c>
      <c r="G30" s="10">
        <v>5.18</v>
      </c>
      <c r="H30" s="18">
        <v>9841.49</v>
      </c>
      <c r="I30" s="10">
        <v>1.11</v>
      </c>
      <c r="J30" s="18">
        <v>4138.34</v>
      </c>
      <c r="K30" s="10">
        <v>0.47</v>
      </c>
      <c r="L30" s="18">
        <v>213</v>
      </c>
      <c r="M30" s="10">
        <v>0.02</v>
      </c>
      <c r="N30" s="19">
        <v>82028.54</v>
      </c>
      <c r="O30" s="13">
        <v>9.25</v>
      </c>
    </row>
    <row r="31">
      <c r="A31" s="10" t="s">
        <v>14</v>
      </c>
      <c r="B31" s="18">
        <v>2142</v>
      </c>
      <c r="C31" s="10">
        <v>0.24</v>
      </c>
      <c r="D31" s="18">
        <v>19627.56</v>
      </c>
      <c r="E31" s="10">
        <v>2.22</v>
      </c>
      <c r="F31" s="18">
        <v>46796.53</v>
      </c>
      <c r="G31" s="10">
        <v>5.28</v>
      </c>
      <c r="H31" s="18">
        <v>21121.62</v>
      </c>
      <c r="I31" s="10">
        <v>2.38</v>
      </c>
      <c r="J31" s="18">
        <v>3164.9</v>
      </c>
      <c r="K31" s="10">
        <v>0.36</v>
      </c>
      <c r="L31" s="18">
        <v>208.08</v>
      </c>
      <c r="M31" s="10">
        <v>0.02</v>
      </c>
      <c r="N31" s="19">
        <v>93060.69</v>
      </c>
      <c r="O31" s="13">
        <v>10.5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38219.29</v>
      </c>
      <c r="G32" s="10">
        <v>4.31</v>
      </c>
      <c r="H32" s="18">
        <v>17047.62</v>
      </c>
      <c r="I32" s="10">
        <v>1.92</v>
      </c>
      <c r="J32" s="18">
        <v>3398.84</v>
      </c>
      <c r="K32" s="10">
        <v>0.38</v>
      </c>
      <c r="L32" s="18">
        <v>102.68</v>
      </c>
      <c r="M32" s="10">
        <v>0.01</v>
      </c>
      <c r="N32" s="19">
        <v>77168.79</v>
      </c>
      <c r="O32" s="13">
        <v>8.7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520.03</v>
      </c>
      <c r="E37" s="7">
        <v>0.06</v>
      </c>
      <c r="F37" s="17">
        <v>3620.22</v>
      </c>
      <c r="G37" s="7">
        <v>0.4</v>
      </c>
      <c r="H37" s="17">
        <v>3170.44</v>
      </c>
      <c r="I37" s="7">
        <v>0.37</v>
      </c>
      <c r="J37" s="17">
        <v>1780.85</v>
      </c>
      <c r="K37" s="7">
        <v>0.19</v>
      </c>
      <c r="L37" s="17">
        <v>352.83</v>
      </c>
      <c r="M37" s="7">
        <v>0.04</v>
      </c>
      <c r="N37" s="17">
        <v>9444.37</v>
      </c>
      <c r="O37" s="9">
        <v>1.06</v>
      </c>
    </row>
    <row r="38">
      <c r="A38" s="10" t="s">
        <v>13</v>
      </c>
      <c r="B38" s="18"/>
      <c r="C38" s="10"/>
      <c r="D38" s="18">
        <v>193.2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715.8</v>
      </c>
      <c r="O38" s="13">
        <v>0.08</v>
      </c>
    </row>
    <row r="39">
      <c r="A39" s="10" t="s">
        <v>14</v>
      </c>
      <c r="B39" s="18"/>
      <c r="C39" s="10"/>
      <c r="D39" s="18">
        <v>167.44</v>
      </c>
      <c r="E39" s="10">
        <v>0.02</v>
      </c>
      <c r="F39" s="18">
        <v>2428.17</v>
      </c>
      <c r="G39" s="10">
        <v>0.27</v>
      </c>
      <c r="H39" s="18">
        <v>2180.61</v>
      </c>
      <c r="I39" s="10">
        <v>0.25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5714.81</v>
      </c>
      <c r="O39" s="13">
        <v>0.64</v>
      </c>
    </row>
    <row r="40">
      <c r="A40" s="10" t="s">
        <v>15</v>
      </c>
      <c r="B40" s="18"/>
      <c r="C40" s="10"/>
      <c r="D40" s="18">
        <v>159.39</v>
      </c>
      <c r="E40" s="10">
        <v>0.02</v>
      </c>
      <c r="F40" s="18">
        <v>658.58</v>
      </c>
      <c r="G40" s="10">
        <v>0.07</v>
      </c>
      <c r="H40" s="18">
        <v>688.49</v>
      </c>
      <c r="I40" s="10">
        <v>0.08</v>
      </c>
      <c r="J40" s="18">
        <v>752</v>
      </c>
      <c r="K40" s="10">
        <v>0.08</v>
      </c>
      <c r="L40" s="18">
        <v>136.13</v>
      </c>
      <c r="M40" s="10">
        <v>0.02</v>
      </c>
      <c r="N40" s="19">
        <v>2394.59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235.8</v>
      </c>
      <c r="G41" s="10">
        <v>0.03</v>
      </c>
      <c r="H41" s="18">
        <v>145.36</v>
      </c>
      <c r="I41" s="10">
        <v>0.02</v>
      </c>
      <c r="J41" s="18"/>
      <c r="K41" s="10"/>
      <c r="L41" s="18"/>
      <c r="M41" s="10"/>
      <c r="N41" s="19">
        <v>381.16</v>
      </c>
      <c r="O41" s="13">
        <v>0.05</v>
      </c>
    </row>
    <row r="42">
      <c r="A42" s="10" t="s">
        <v>17</v>
      </c>
      <c r="B42" s="18"/>
      <c r="C42" s="10"/>
      <c r="D42" s="18"/>
      <c r="E42" s="10"/>
      <c r="F42" s="18">
        <v>109.85</v>
      </c>
      <c r="G42" s="10">
        <v>0.01</v>
      </c>
      <c r="H42" s="18"/>
      <c r="I42" s="10"/>
      <c r="J42" s="18">
        <v>128.16</v>
      </c>
      <c r="K42" s="10">
        <v>0.01</v>
      </c>
      <c r="L42" s="18"/>
      <c r="M42" s="10"/>
      <c r="N42" s="19">
        <v>238.01</v>
      </c>
      <c r="O42" s="13">
        <v>0.02</v>
      </c>
    </row>
    <row r="43">
      <c r="A43" s="7" t="s">
        <v>25</v>
      </c>
      <c r="B43" s="19"/>
      <c r="C43" s="14"/>
      <c r="D43" s="17">
        <v>7198.06</v>
      </c>
      <c r="E43" s="7">
        <v>0.82</v>
      </c>
      <c r="F43" s="17">
        <v>21657.49</v>
      </c>
      <c r="G43" s="7">
        <v>2.44</v>
      </c>
      <c r="H43" s="17">
        <v>23340.52</v>
      </c>
      <c r="I43" s="7">
        <v>2.63</v>
      </c>
      <c r="J43" s="17">
        <v>5566.88</v>
      </c>
      <c r="K43" s="7">
        <v>0.63</v>
      </c>
      <c r="L43" s="19"/>
      <c r="M43" s="14"/>
      <c r="N43" s="17">
        <v>57762.95</v>
      </c>
      <c r="O43" s="9">
        <v>6.52</v>
      </c>
    </row>
    <row r="44">
      <c r="A44" s="10" t="s">
        <v>13</v>
      </c>
      <c r="B44" s="18"/>
      <c r="C44" s="10"/>
      <c r="D44" s="18">
        <v>1648.35</v>
      </c>
      <c r="E44" s="10">
        <v>0.19</v>
      </c>
      <c r="F44" s="18">
        <v>3223.66</v>
      </c>
      <c r="G44" s="10">
        <v>0.36</v>
      </c>
      <c r="H44" s="18">
        <v>3446.45</v>
      </c>
      <c r="I44" s="10">
        <v>0.39</v>
      </c>
      <c r="J44" s="18">
        <v>783.36</v>
      </c>
      <c r="K44" s="10">
        <v>0.09</v>
      </c>
      <c r="L44" s="18"/>
      <c r="M44" s="10"/>
      <c r="N44" s="19">
        <v>9101.82</v>
      </c>
      <c r="O44" s="13">
        <v>1.03</v>
      </c>
    </row>
    <row r="45">
      <c r="A45" s="10" t="s">
        <v>14</v>
      </c>
      <c r="B45" s="18"/>
      <c r="C45" s="10"/>
      <c r="D45" s="18">
        <v>1772.34</v>
      </c>
      <c r="E45" s="10">
        <v>0.2</v>
      </c>
      <c r="F45" s="18">
        <v>8436.69</v>
      </c>
      <c r="G45" s="10">
        <v>0.95</v>
      </c>
      <c r="H45" s="18">
        <v>11645.91</v>
      </c>
      <c r="I45" s="10">
        <v>1.31</v>
      </c>
      <c r="J45" s="18">
        <v>2849.34</v>
      </c>
      <c r="K45" s="10">
        <v>0.32</v>
      </c>
      <c r="L45" s="18"/>
      <c r="M45" s="10"/>
      <c r="N45" s="19">
        <v>24704.28</v>
      </c>
      <c r="O45" s="13">
        <v>2.78</v>
      </c>
    </row>
    <row r="46">
      <c r="A46" s="10" t="s">
        <v>15</v>
      </c>
      <c r="B46" s="18"/>
      <c r="C46" s="10"/>
      <c r="D46" s="18">
        <v>2295.87</v>
      </c>
      <c r="E46" s="10">
        <v>0.26</v>
      </c>
      <c r="F46" s="18">
        <v>8359.45</v>
      </c>
      <c r="G46" s="10">
        <v>0.94</v>
      </c>
      <c r="H46" s="18">
        <v>7120.64</v>
      </c>
      <c r="I46" s="10">
        <v>0.8</v>
      </c>
      <c r="J46" s="18">
        <v>1934.18</v>
      </c>
      <c r="K46" s="10">
        <v>0.22</v>
      </c>
      <c r="L46" s="18"/>
      <c r="M46" s="10"/>
      <c r="N46" s="19">
        <v>19710.14</v>
      </c>
      <c r="O46" s="13">
        <v>2.22</v>
      </c>
    </row>
    <row r="47">
      <c r="A47" s="10" t="s">
        <v>16</v>
      </c>
      <c r="B47" s="18"/>
      <c r="C47" s="10"/>
      <c r="D47" s="18">
        <v>1481.5</v>
      </c>
      <c r="E47" s="10">
        <v>0.17</v>
      </c>
      <c r="F47" s="18">
        <v>1489.69</v>
      </c>
      <c r="G47" s="10">
        <v>0.17</v>
      </c>
      <c r="H47" s="18">
        <v>1127.52</v>
      </c>
      <c r="I47" s="10">
        <v>0.13</v>
      </c>
      <c r="J47" s="18"/>
      <c r="K47" s="10"/>
      <c r="L47" s="18"/>
      <c r="M47" s="10"/>
      <c r="N47" s="19">
        <v>4098.71</v>
      </c>
      <c r="O47" s="13">
        <v>0.47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/>
      <c r="I48" s="10"/>
      <c r="J48" s="18"/>
      <c r="K48" s="10"/>
      <c r="L48" s="18"/>
      <c r="M48" s="10"/>
      <c r="N48" s="19">
        <v>148</v>
      </c>
      <c r="O48" s="13">
        <v>0.02</v>
      </c>
    </row>
    <row r="49">
      <c r="A49" s="7" t="s">
        <v>26</v>
      </c>
      <c r="B49" s="19"/>
      <c r="C49" s="14"/>
      <c r="D49" s="17">
        <v>211</v>
      </c>
      <c r="E49" s="7">
        <v>0.02</v>
      </c>
      <c r="F49" s="17">
        <v>1187.46</v>
      </c>
      <c r="G49" s="7">
        <v>0.13</v>
      </c>
      <c r="H49" s="17">
        <v>4013.25</v>
      </c>
      <c r="I49" s="7">
        <v>0.45</v>
      </c>
      <c r="J49" s="17">
        <v>1371.01</v>
      </c>
      <c r="K49" s="7">
        <v>0.16</v>
      </c>
      <c r="L49" s="19"/>
      <c r="M49" s="14"/>
      <c r="N49" s="17">
        <v>6782.72</v>
      </c>
      <c r="O49" s="9">
        <v>0.76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455.21</v>
      </c>
      <c r="G51" s="10">
        <v>0.05</v>
      </c>
      <c r="H51" s="18">
        <v>1677.19</v>
      </c>
      <c r="I51" s="10">
        <v>0.19</v>
      </c>
      <c r="J51" s="18">
        <v>222.89</v>
      </c>
      <c r="K51" s="10">
        <v>0.03</v>
      </c>
      <c r="L51" s="18"/>
      <c r="M51" s="10"/>
      <c r="N51" s="19">
        <v>2355.29</v>
      </c>
      <c r="O51" s="13">
        <v>0.27</v>
      </c>
    </row>
    <row r="52">
      <c r="A52" s="10" t="s">
        <v>15</v>
      </c>
      <c r="B52" s="18"/>
      <c r="C52" s="10"/>
      <c r="D52" s="18"/>
      <c r="E52" s="10"/>
      <c r="F52" s="18">
        <v>732.25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0.09</v>
      </c>
      <c r="L52" s="18"/>
      <c r="M52" s="10"/>
      <c r="N52" s="19">
        <v>2395</v>
      </c>
      <c r="O52" s="13">
        <v>0.27</v>
      </c>
    </row>
    <row r="53">
      <c r="A53" s="10" t="s">
        <v>16</v>
      </c>
      <c r="B53" s="18"/>
      <c r="C53" s="10"/>
      <c r="D53" s="18">
        <v>211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1050.02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1196.66</v>
      </c>
      <c r="E55" s="7">
        <v>0.14</v>
      </c>
      <c r="F55" s="17">
        <v>4408.65</v>
      </c>
      <c r="G55" s="7">
        <v>0.49</v>
      </c>
      <c r="H55" s="17">
        <v>3197.7</v>
      </c>
      <c r="I55" s="7">
        <v>0.36</v>
      </c>
      <c r="J55" s="17">
        <v>1160.35</v>
      </c>
      <c r="K55" s="7">
        <v>0.13</v>
      </c>
      <c r="L55" s="19"/>
      <c r="M55" s="14"/>
      <c r="N55" s="17">
        <v>9963.36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0.09</v>
      </c>
      <c r="H56" s="18">
        <v>804.15</v>
      </c>
      <c r="I56" s="10">
        <v>0.09</v>
      </c>
      <c r="J56" s="18"/>
      <c r="K56" s="10"/>
      <c r="L56" s="18"/>
      <c r="M56" s="10"/>
      <c r="N56" s="19">
        <v>1625.29</v>
      </c>
      <c r="O56" s="13">
        <v>0.18</v>
      </c>
    </row>
    <row r="57">
      <c r="A57" s="10" t="s">
        <v>14</v>
      </c>
      <c r="B57" s="18"/>
      <c r="C57" s="10"/>
      <c r="D57" s="18">
        <v>602.14</v>
      </c>
      <c r="E57" s="10">
        <v>0.07</v>
      </c>
      <c r="F57" s="18">
        <v>2186.91</v>
      </c>
      <c r="G57" s="10">
        <v>0.25</v>
      </c>
      <c r="H57" s="18">
        <v>492.55</v>
      </c>
      <c r="I57" s="10">
        <v>0.06</v>
      </c>
      <c r="J57" s="18">
        <v>772.19</v>
      </c>
      <c r="K57" s="10">
        <v>0.09</v>
      </c>
      <c r="L57" s="18"/>
      <c r="M57" s="10"/>
      <c r="N57" s="19">
        <v>4053.79</v>
      </c>
      <c r="O57" s="13">
        <v>0.47</v>
      </c>
    </row>
    <row r="58">
      <c r="A58" s="10" t="s">
        <v>15</v>
      </c>
      <c r="B58" s="18"/>
      <c r="C58" s="10"/>
      <c r="D58" s="18">
        <v>594.52</v>
      </c>
      <c r="E58" s="10">
        <v>0.07</v>
      </c>
      <c r="F58" s="18">
        <v>730.47</v>
      </c>
      <c r="G58" s="10">
        <v>0.08</v>
      </c>
      <c r="H58" s="18">
        <v>645.07</v>
      </c>
      <c r="I58" s="10">
        <v>0.07</v>
      </c>
      <c r="J58" s="18">
        <v>388.16</v>
      </c>
      <c r="K58" s="10">
        <v>0.04</v>
      </c>
      <c r="L58" s="18"/>
      <c r="M58" s="10"/>
      <c r="N58" s="19">
        <v>2358.22</v>
      </c>
      <c r="O58" s="13">
        <v>0.26</v>
      </c>
    </row>
    <row r="59">
      <c r="A59" s="10" t="s">
        <v>16</v>
      </c>
      <c r="B59" s="18"/>
      <c r="C59" s="10"/>
      <c r="D59" s="18"/>
      <c r="E59" s="10"/>
      <c r="F59" s="18">
        <v>477.63</v>
      </c>
      <c r="G59" s="10">
        <v>0.05</v>
      </c>
      <c r="H59" s="18">
        <v>1069.45</v>
      </c>
      <c r="I59" s="10">
        <v>0.12</v>
      </c>
      <c r="J59" s="18"/>
      <c r="K59" s="10"/>
      <c r="L59" s="18"/>
      <c r="M59" s="10"/>
      <c r="N59" s="19">
        <v>1547.08</v>
      </c>
      <c r="O59" s="13">
        <v>0.17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0.02</v>
      </c>
      <c r="H60" s="18">
        <v>186.48</v>
      </c>
      <c r="I60" s="10">
        <v>0.02</v>
      </c>
      <c r="J60" s="18"/>
      <c r="K60" s="10"/>
      <c r="L60" s="18"/>
      <c r="M60" s="10"/>
      <c r="N60" s="19">
        <v>378.98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7">
        <v>332.2</v>
      </c>
      <c r="E65" s="7">
        <v>0.04</v>
      </c>
      <c r="F65" s="17">
        <v>5480.32</v>
      </c>
      <c r="G65" s="7">
        <v>0.62</v>
      </c>
      <c r="H65" s="17">
        <v>5975.7</v>
      </c>
      <c r="I65" s="7">
        <v>0.68</v>
      </c>
      <c r="J65" s="17">
        <v>5504.77</v>
      </c>
      <c r="K65" s="7">
        <v>0.62</v>
      </c>
      <c r="L65" s="17">
        <v>541.8</v>
      </c>
      <c r="M65" s="7">
        <v>0.06</v>
      </c>
      <c r="N65" s="17">
        <v>17834.79</v>
      </c>
      <c r="O65" s="9">
        <v>2.02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366</v>
      </c>
      <c r="I66" s="10">
        <v>0.04</v>
      </c>
      <c r="J66" s="18">
        <v>273</v>
      </c>
      <c r="K66" s="10">
        <v>0.03</v>
      </c>
      <c r="L66" s="18">
        <v>541.8</v>
      </c>
      <c r="M66" s="10">
        <v>0.06</v>
      </c>
      <c r="N66" s="19">
        <v>1180.8</v>
      </c>
      <c r="O66" s="13">
        <v>0.13</v>
      </c>
    </row>
    <row r="67">
      <c r="A67" s="10" t="s">
        <v>14</v>
      </c>
      <c r="B67" s="18"/>
      <c r="C67" s="10"/>
      <c r="D67" s="18"/>
      <c r="E67" s="10"/>
      <c r="F67" s="18">
        <v>1356.81</v>
      </c>
      <c r="G67" s="10">
        <v>0.15</v>
      </c>
      <c r="H67" s="18">
        <v>1071.84</v>
      </c>
      <c r="I67" s="10">
        <v>0.12</v>
      </c>
      <c r="J67" s="18">
        <v>2902.1</v>
      </c>
      <c r="K67" s="10">
        <v>0.33</v>
      </c>
      <c r="L67" s="18"/>
      <c r="M67" s="10"/>
      <c r="N67" s="19">
        <v>5330.75</v>
      </c>
      <c r="O67" s="13">
        <v>0.6</v>
      </c>
    </row>
    <row r="68">
      <c r="A68" s="10" t="s">
        <v>15</v>
      </c>
      <c r="B68" s="18"/>
      <c r="C68" s="10"/>
      <c r="D68" s="18">
        <v>332.2</v>
      </c>
      <c r="E68" s="10">
        <v>0.04</v>
      </c>
      <c r="F68" s="18">
        <v>2919.87</v>
      </c>
      <c r="G68" s="10">
        <v>0.33</v>
      </c>
      <c r="H68" s="18">
        <v>3613.87</v>
      </c>
      <c r="I68" s="10">
        <v>0.41</v>
      </c>
      <c r="J68" s="18">
        <v>614.86</v>
      </c>
      <c r="K68" s="10">
        <v>0.07</v>
      </c>
      <c r="L68" s="18"/>
      <c r="M68" s="10"/>
      <c r="N68" s="19">
        <v>7480.8</v>
      </c>
      <c r="O68" s="13">
        <v>0.85</v>
      </c>
    </row>
    <row r="69">
      <c r="A69" s="10" t="s">
        <v>16</v>
      </c>
      <c r="B69" s="18"/>
      <c r="C69" s="10"/>
      <c r="D69" s="18"/>
      <c r="E69" s="10"/>
      <c r="F69" s="18">
        <v>1203.64</v>
      </c>
      <c r="G69" s="10">
        <v>0.14</v>
      </c>
      <c r="H69" s="18">
        <v>591.14</v>
      </c>
      <c r="I69" s="10">
        <v>0.07</v>
      </c>
      <c r="J69" s="18">
        <v>1714.81</v>
      </c>
      <c r="K69" s="10">
        <v>0.19</v>
      </c>
      <c r="L69" s="18"/>
      <c r="M69" s="10"/>
      <c r="N69" s="19">
        <v>3509.59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2739.82</v>
      </c>
      <c r="I74" s="7">
        <v>0.31</v>
      </c>
      <c r="J74" s="17">
        <v>1272.79</v>
      </c>
      <c r="K74" s="7">
        <v>0.15</v>
      </c>
      <c r="L74" s="17">
        <v>480.54</v>
      </c>
      <c r="M74" s="7">
        <v>0.05</v>
      </c>
      <c r="N74" s="17">
        <v>6387.03</v>
      </c>
      <c r="O74" s="9">
        <v>0.72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1604.82</v>
      </c>
      <c r="I76" s="10">
        <v>0.18</v>
      </c>
      <c r="J76" s="18">
        <v>367.66</v>
      </c>
      <c r="K76" s="10">
        <v>0.04</v>
      </c>
      <c r="L76" s="18"/>
      <c r="M76" s="10"/>
      <c r="N76" s="19">
        <v>2399.15</v>
      </c>
      <c r="O76" s="13">
        <v>0.27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272.58</v>
      </c>
      <c r="I77" s="10">
        <v>0.03</v>
      </c>
      <c r="J77" s="18">
        <v>412.33</v>
      </c>
      <c r="K77" s="10">
        <v>0.05</v>
      </c>
      <c r="L77" s="18">
        <v>480.54</v>
      </c>
      <c r="M77" s="10">
        <v>0.05</v>
      </c>
      <c r="N77" s="19">
        <v>2112.2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0.05</v>
      </c>
      <c r="J78" s="18">
        <v>492.8</v>
      </c>
      <c r="K78" s="10">
        <v>0.06</v>
      </c>
      <c r="L78" s="18"/>
      <c r="M78" s="10"/>
      <c r="N78" s="19">
        <v>895.19</v>
      </c>
      <c r="O78" s="13">
        <v>0.11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0.18</v>
      </c>
      <c r="H79" s="17">
        <v>1333.4</v>
      </c>
      <c r="I79" s="7">
        <v>0.14</v>
      </c>
      <c r="J79" s="17">
        <v>1089.56</v>
      </c>
      <c r="K79" s="7">
        <v>0.12</v>
      </c>
      <c r="L79" s="17">
        <v>708.85</v>
      </c>
      <c r="M79" s="7">
        <v>0.08</v>
      </c>
      <c r="N79" s="17">
        <v>4781.7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501.28</v>
      </c>
      <c r="M80" s="10">
        <v>0.06</v>
      </c>
      <c r="N80" s="19">
        <v>501.28</v>
      </c>
      <c r="O80" s="13">
        <v>0.06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461.95</v>
      </c>
      <c r="K81" s="10">
        <v>0.05</v>
      </c>
      <c r="L81" s="18">
        <v>207.57</v>
      </c>
      <c r="M81" s="10">
        <v>0.02</v>
      </c>
      <c r="N81" s="19">
        <v>1815.52</v>
      </c>
      <c r="O81" s="13">
        <v>0.19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0.12</v>
      </c>
      <c r="H82" s="18">
        <v>364.5</v>
      </c>
      <c r="I82" s="10">
        <v>0.04</v>
      </c>
      <c r="J82" s="18">
        <v>627.61</v>
      </c>
      <c r="K82" s="10">
        <v>0.07</v>
      </c>
      <c r="L82" s="18"/>
      <c r="M82" s="10"/>
      <c r="N82" s="19">
        <v>2068</v>
      </c>
      <c r="O82" s="13">
        <v>0.23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3657.39</v>
      </c>
      <c r="G84" s="7">
        <v>0.41</v>
      </c>
      <c r="H84" s="17">
        <v>17186.01</v>
      </c>
      <c r="I84" s="7">
        <v>1.94</v>
      </c>
      <c r="J84" s="17">
        <v>3378.08</v>
      </c>
      <c r="K84" s="7">
        <v>0.39</v>
      </c>
      <c r="L84" s="17">
        <v>337.01</v>
      </c>
      <c r="M84" s="7">
        <v>0.04</v>
      </c>
      <c r="N84" s="17">
        <v>24558.49</v>
      </c>
      <c r="O84" s="9">
        <v>2.78</v>
      </c>
    </row>
    <row r="85">
      <c r="A85" s="10" t="s">
        <v>14</v>
      </c>
      <c r="B85" s="18"/>
      <c r="C85" s="10"/>
      <c r="D85" s="18"/>
      <c r="E85" s="10"/>
      <c r="F85" s="18">
        <v>1170.94</v>
      </c>
      <c r="G85" s="10">
        <v>0.13</v>
      </c>
      <c r="H85" s="18">
        <v>11674.39</v>
      </c>
      <c r="I85" s="10">
        <v>1.32</v>
      </c>
      <c r="J85" s="18">
        <v>454.5</v>
      </c>
      <c r="K85" s="10">
        <v>0.05</v>
      </c>
      <c r="L85" s="18"/>
      <c r="M85" s="10"/>
      <c r="N85" s="19">
        <v>13299.83</v>
      </c>
      <c r="O85" s="13">
        <v>1.5</v>
      </c>
    </row>
    <row r="86">
      <c r="A86" s="10" t="s">
        <v>15</v>
      </c>
      <c r="B86" s="18"/>
      <c r="C86" s="10"/>
      <c r="D86" s="18"/>
      <c r="E86" s="10"/>
      <c r="F86" s="18">
        <v>1564.98</v>
      </c>
      <c r="G86" s="10">
        <v>0.18</v>
      </c>
      <c r="H86" s="18">
        <v>5036.92</v>
      </c>
      <c r="I86" s="10">
        <v>0.57</v>
      </c>
      <c r="J86" s="18">
        <v>1196.87</v>
      </c>
      <c r="K86" s="10">
        <v>0.14</v>
      </c>
      <c r="L86" s="18">
        <v>337.01</v>
      </c>
      <c r="M86" s="10">
        <v>0.04</v>
      </c>
      <c r="N86" s="19">
        <v>8135.78</v>
      </c>
      <c r="O86" s="13">
        <v>0.93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0.12</v>
      </c>
      <c r="L87" s="18"/>
      <c r="M87" s="10"/>
      <c r="N87" s="19">
        <v>2435.44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0.08</v>
      </c>
      <c r="L88" s="18"/>
      <c r="M88" s="10"/>
      <c r="N88" s="19">
        <v>687.44</v>
      </c>
      <c r="O88" s="13">
        <v>0.08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12700.87</v>
      </c>
      <c r="C92" s="15">
        <v>1.44</v>
      </c>
      <c r="D92" s="20">
        <v>198332.82</v>
      </c>
      <c r="E92" s="15">
        <v>22.39</v>
      </c>
      <c r="F92" s="20">
        <v>350859.77</v>
      </c>
      <c r="G92" s="15">
        <v>39.55</v>
      </c>
      <c r="H92" s="20">
        <v>164943.73</v>
      </c>
      <c r="I92" s="15">
        <v>18.6</v>
      </c>
      <c r="J92" s="20">
        <v>59823.04</v>
      </c>
      <c r="K92" s="15">
        <v>6.75</v>
      </c>
      <c r="L92" s="20">
        <v>4977.68</v>
      </c>
      <c r="M92" s="15">
        <v>0.55</v>
      </c>
      <c r="N92" s="20">
        <v>791637.91</v>
      </c>
      <c r="O92" s="15">
        <v>89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1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39</v>
      </c>
    </row>
    <row r="2" ht="25" customHeight="1">
      <c r="A2" s="22" t="s">
        <v>4</v>
      </c>
      <c r="B2" s="22" t="s">
        <v>40</v>
      </c>
      <c r="C2" s="9" t="s">
        <v>3</v>
      </c>
      <c r="D2" s="22" t="s">
        <v>36</v>
      </c>
      <c r="E2" s="9" t="s">
        <v>3</v>
      </c>
      <c r="F2" s="22" t="s">
        <v>41</v>
      </c>
      <c r="G2" s="9" t="s">
        <v>3</v>
      </c>
      <c r="I2" s="22" t="s">
        <v>42</v>
      </c>
      <c r="J2" s="22" t="s">
        <v>40</v>
      </c>
      <c r="K2" s="9" t="s">
        <v>3</v>
      </c>
      <c r="L2" s="22" t="s">
        <v>41</v>
      </c>
      <c r="M2" s="9" t="s">
        <v>3</v>
      </c>
      <c r="O2" s="22" t="s">
        <v>43</v>
      </c>
      <c r="P2" s="22" t="s">
        <v>40</v>
      </c>
      <c r="Q2" s="9" t="s">
        <v>3</v>
      </c>
      <c r="R2" s="22" t="s">
        <v>41</v>
      </c>
      <c r="S2" s="9" t="s">
        <v>3</v>
      </c>
    </row>
    <row r="3">
      <c r="A3" s="10" t="s">
        <v>12</v>
      </c>
      <c r="B3" s="23">
        <v>3034</v>
      </c>
      <c r="C3" s="24">
        <f>IF(B$21&gt;0,(B3/B$21)*100,0)</f>
      </c>
      <c r="D3" s="25">
        <v>3174.8</v>
      </c>
      <c r="E3" s="24">
        <f>IF(D$21&gt;0,(D3/D$21)*100,0)</f>
      </c>
      <c r="F3" s="23">
        <v>295130</v>
      </c>
      <c r="G3" s="24">
        <f>IF(F$21&gt;0,(F3/F$21)*100,0)</f>
      </c>
      <c r="I3" s="10" t="s">
        <v>13</v>
      </c>
      <c r="J3" s="23">
        <v>1881</v>
      </c>
      <c r="K3" s="24">
        <f>IF(J$10&gt;0,(J3/J$10)*100,0)</f>
      </c>
      <c r="L3" s="23">
        <v>224762</v>
      </c>
      <c r="M3" s="24">
        <f>IF(L$10&gt;0,(L3/L$10)*100,0)</f>
      </c>
      <c r="O3" s="10" t="s">
        <v>5</v>
      </c>
      <c r="P3" s="23">
        <v>69</v>
      </c>
      <c r="Q3" s="24">
        <f>IF(P$9&gt;0,(P3/P$9)*100,0)</f>
      </c>
      <c r="R3" s="23">
        <v>12701</v>
      </c>
      <c r="S3" s="24">
        <f>IF(R$9&gt;0,(R3/R$9)*100,0)</f>
      </c>
    </row>
    <row r="4">
      <c r="A4" s="10" t="s">
        <v>19</v>
      </c>
      <c r="B4" s="23">
        <v>141</v>
      </c>
      <c r="C4" s="24">
        <f>IF(B$21&gt;0,(B4/B$21)*100,0)</f>
      </c>
      <c r="D4" s="25">
        <v>160.31</v>
      </c>
      <c r="E4" s="24">
        <f>IF(D$21&gt;0,(D4/D$21)*100,0)</f>
      </c>
      <c r="F4" s="23">
        <v>15387</v>
      </c>
      <c r="G4" s="24">
        <f>IF(F$21&gt;0,(F4/F$21)*100,0)</f>
      </c>
      <c r="I4" s="10" t="s">
        <v>14</v>
      </c>
      <c r="J4" s="23">
        <v>2212</v>
      </c>
      <c r="K4" s="24">
        <f>IF(J$10&gt;0,(J4/J$10)*100,0)</f>
      </c>
      <c r="L4" s="23">
        <v>292809</v>
      </c>
      <c r="M4" s="24">
        <f>IF(L$10&gt;0,(L4/L$10)*100,0)</f>
      </c>
      <c r="O4" s="10" t="s">
        <v>6</v>
      </c>
      <c r="P4" s="23">
        <v>1697</v>
      </c>
      <c r="Q4" s="24">
        <f>IF(P$9&gt;0,(P4/P$9)*100,0)</f>
      </c>
      <c r="R4" s="23">
        <v>198243</v>
      </c>
      <c r="S4" s="24">
        <f>IF(R$9&gt;0,(R4/R$9)*100,0)</f>
      </c>
    </row>
    <row r="5">
      <c r="A5" s="10" t="s">
        <v>20</v>
      </c>
      <c r="B5" s="23">
        <v>732</v>
      </c>
      <c r="C5" s="24">
        <f>IF(B$21&gt;0,(B5/B$21)*100,0)</f>
      </c>
      <c r="D5" s="25">
        <v>906.03</v>
      </c>
      <c r="E5" s="24">
        <f>IF(D$21&gt;0,(D5/D$21)*100,0)</f>
      </c>
      <c r="F5" s="23">
        <v>74721</v>
      </c>
      <c r="G5" s="24">
        <f>IF(F$21&gt;0,(F5/F$21)*100,0)</f>
      </c>
      <c r="I5" s="10" t="s">
        <v>15</v>
      </c>
      <c r="J5" s="23">
        <v>1735</v>
      </c>
      <c r="K5" s="24">
        <f>IF(J$10&gt;0,(J5/J$10)*100,0)</f>
      </c>
      <c r="L5" s="23">
        <v>225731</v>
      </c>
      <c r="M5" s="24">
        <f>IF(L$10&gt;0,(L5/L$10)*100,0)</f>
      </c>
      <c r="O5" s="10" t="s">
        <v>7</v>
      </c>
      <c r="P5" s="23">
        <v>2964</v>
      </c>
      <c r="Q5" s="24">
        <f>IF(P$9&gt;0,(P5/P$9)*100,0)</f>
      </c>
      <c r="R5" s="23">
        <v>372128</v>
      </c>
      <c r="S5" s="24">
        <f>IF(R$9&gt;0,(R5/R$9)*100,0)</f>
      </c>
    </row>
    <row r="6">
      <c r="A6" s="10" t="s">
        <v>21</v>
      </c>
      <c r="B6" s="23">
        <v>51</v>
      </c>
      <c r="C6" s="24">
        <f>IF(B$21&gt;0,(B6/B$21)*100,0)</f>
      </c>
      <c r="D6" s="25">
        <v>70.58</v>
      </c>
      <c r="E6" s="24">
        <f>IF(D$21&gt;0,(D6/D$21)*100,0)</f>
      </c>
      <c r="F6" s="23">
        <v>6664</v>
      </c>
      <c r="G6" s="24">
        <f>IF(F$21&gt;0,(F6/F$21)*100,0)</f>
      </c>
      <c r="I6" s="10" t="s">
        <v>16</v>
      </c>
      <c r="J6" s="23">
        <v>352</v>
      </c>
      <c r="K6" s="24">
        <f>IF(J$10&gt;0,(J6/J$10)*100,0)</f>
      </c>
      <c r="L6" s="23">
        <v>46991</v>
      </c>
      <c r="M6" s="24">
        <f>IF(L$10&gt;0,(L6/L$10)*100,0)</f>
      </c>
      <c r="O6" s="10" t="s">
        <v>8</v>
      </c>
      <c r="P6" s="23">
        <v>1254</v>
      </c>
      <c r="Q6" s="24">
        <f>IF(P$9&gt;0,(P6/P$9)*100,0)</f>
      </c>
      <c r="R6" s="23">
        <v>215723</v>
      </c>
      <c r="S6" s="24">
        <f>IF(R$9&gt;0,(R6/R$9)*100,0)</f>
      </c>
    </row>
    <row r="7">
      <c r="A7" s="10" t="s">
        <v>22</v>
      </c>
      <c r="B7" s="23">
        <v>1818</v>
      </c>
      <c r="C7" s="24">
        <f>IF(B$21&gt;0,(B7/B$21)*100,0)</f>
      </c>
      <c r="D7" s="25">
        <v>2778.37</v>
      </c>
      <c r="E7" s="24">
        <f>IF(D$21&gt;0,(D7/D$21)*100,0)</f>
      </c>
      <c r="F7" s="23">
        <v>266111</v>
      </c>
      <c r="G7" s="24">
        <f>IF(F$21&gt;0,(F7/F$21)*100,0)</f>
      </c>
      <c r="I7" s="10" t="s">
        <v>17</v>
      </c>
      <c r="J7" s="23">
        <v>46</v>
      </c>
      <c r="K7" s="24">
        <f>IF(J$10&gt;0,(J7/J$10)*100,0)</f>
      </c>
      <c r="L7" s="23">
        <v>5299</v>
      </c>
      <c r="M7" s="24">
        <f>IF(L$10&gt;0,(L7/L$10)*100,0)</f>
      </c>
      <c r="O7" s="10" t="s">
        <v>9</v>
      </c>
      <c r="P7" s="23">
        <v>464</v>
      </c>
      <c r="Q7" s="24">
        <f>IF(P$9&gt;0,(P7/P$9)*100,0)</f>
      </c>
      <c r="R7" s="23">
        <v>76797</v>
      </c>
      <c r="S7" s="24">
        <f>IF(R$9&gt;0,(R7/R$9)*100,0)</f>
      </c>
    </row>
    <row r="8">
      <c r="A8" s="10" t="s">
        <v>24</v>
      </c>
      <c r="B8" s="23">
        <v>85</v>
      </c>
      <c r="C8" s="24">
        <f>IF(B$21&gt;0,(B8/B$21)*100,0)</f>
      </c>
      <c r="D8" s="25">
        <v>149.74</v>
      </c>
      <c r="E8" s="24">
        <f>IF(D$21&gt;0,(D8/D$21)*100,0)</f>
      </c>
      <c r="F8" s="23">
        <v>15006</v>
      </c>
      <c r="G8" s="24">
        <f>IF(F$21&gt;0,(F8/F$21)*100,0)</f>
      </c>
      <c r="I8" s="10" t="s">
        <v>18</v>
      </c>
      <c r="J8" s="23">
        <v>4</v>
      </c>
      <c r="K8" s="24">
        <f>IF(J$10&gt;0,(J8/J$10)*100,0)</f>
      </c>
      <c r="L8" s="23">
        <v>363</v>
      </c>
      <c r="M8" s="24">
        <f>IF(L$10&gt;0,(L8/L$10)*100,0)</f>
      </c>
      <c r="O8" s="10" t="s">
        <v>10</v>
      </c>
      <c r="P8" s="23">
        <v>43</v>
      </c>
      <c r="Q8" s="24">
        <f>IF(P$9&gt;0,(P8/P$9)*100,0)</f>
      </c>
      <c r="R8" s="23">
        <v>5973</v>
      </c>
      <c r="S8" s="24">
        <f>IF(R$9&gt;0,(R8/R$9)*100,0)</f>
      </c>
    </row>
    <row r="9">
      <c r="A9" s="10" t="s">
        <v>25</v>
      </c>
      <c r="B9" s="23">
        <v>293</v>
      </c>
      <c r="C9" s="24">
        <f>IF(B$21&gt;0,(B9/B$21)*100,0)</f>
      </c>
      <c r="D9" s="25">
        <v>596.18</v>
      </c>
      <c r="E9" s="24">
        <f>IF(D$21&gt;0,(D9/D$21)*100,0)</f>
      </c>
      <c r="F9" s="23">
        <v>61942</v>
      </c>
      <c r="G9" s="24">
        <f>IF(F$21&gt;0,(F9/F$21)*100,0)</f>
      </c>
      <c r="I9" s="10" t="s">
        <v>23</v>
      </c>
      <c r="J9" s="23">
        <v>1</v>
      </c>
      <c r="K9" s="24">
        <f>IF(J$10&gt;0,(J9/J$10)*100,0)</f>
      </c>
      <c r="L9" s="23">
        <v>105</v>
      </c>
      <c r="M9" s="24">
        <f>IF(L$10&gt;0,(L9/L$10)*100,0)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26</v>
      </c>
      <c r="B10" s="23">
        <v>46</v>
      </c>
      <c r="C10" s="24">
        <f>IF(B$21&gt;0,(B10/B$21)*100,0)</f>
      </c>
      <c r="D10" s="25">
        <v>101.18</v>
      </c>
      <c r="E10" s="24">
        <f>IF(D$21&gt;0,(D10/D$21)*100,0)</f>
      </c>
      <c r="F10" s="23">
        <v>11551</v>
      </c>
      <c r="G10" s="24">
        <f>IF(F$21&gt;0,(F10/F$21)*100,0)</f>
      </c>
      <c r="I10" s="9" t="s">
        <v>11</v>
      </c>
      <c r="J10" s="26">
        <f>SUM(J3:J9)</f>
      </c>
      <c r="K10" s="27">
        <f>SUM(K3:K9)</f>
      </c>
      <c r="L10" s="26">
        <f>SUM(L3:L9)</f>
      </c>
      <c r="M10" s="27">
        <f>SUM(M3:M9)</f>
      </c>
    </row>
    <row r="11">
      <c r="A11" s="10" t="s">
        <v>27</v>
      </c>
      <c r="B11" s="23">
        <v>57</v>
      </c>
      <c r="C11" s="24">
        <f>IF(B$21&gt;0,(B11/B$21)*100,0)</f>
      </c>
      <c r="D11" s="25">
        <v>144.48</v>
      </c>
      <c r="E11" s="24">
        <f>IF(D$21&gt;0,(D11/D$21)*100,0)</f>
      </c>
      <c r="F11" s="23">
        <v>15218</v>
      </c>
      <c r="G11" s="24">
        <f>IF(F$21&gt;0,(F11/F$21)*100,0)</f>
      </c>
    </row>
    <row r="12">
      <c r="A12" s="10" t="s">
        <v>28</v>
      </c>
      <c r="B12" s="23">
        <v>12</v>
      </c>
      <c r="C12" s="24">
        <f>IF(B$21&gt;0,(B12/B$21)*100,0)</f>
      </c>
      <c r="D12" s="25">
        <v>33.45</v>
      </c>
      <c r="E12" s="24">
        <f>IF(D$21&gt;0,(D12/D$21)*100,0)</f>
      </c>
      <c r="F12" s="23">
        <v>4327</v>
      </c>
      <c r="G12" s="24">
        <f>IF(F$21&gt;0,(F12/F$21)*100,0)</f>
      </c>
      <c r="P12" s="22" t="s">
        <v>44</v>
      </c>
      <c r="Q12" s="10"/>
      <c r="R12" s="10"/>
      <c r="S12" s="9" t="s">
        <v>3</v>
      </c>
    </row>
    <row r="13">
      <c r="A13" s="10" t="s">
        <v>29</v>
      </c>
      <c r="B13" s="23">
        <v>61</v>
      </c>
      <c r="C13" s="24">
        <f>IF(B$21&gt;0,(B13/B$21)*100,0)</f>
      </c>
      <c r="D13" s="25">
        <v>185.69</v>
      </c>
      <c r="E13" s="24">
        <f>IF(D$21&gt;0,(D13/D$21)*100,0)</f>
      </c>
      <c r="F13" s="23">
        <v>20910</v>
      </c>
      <c r="G13" s="24">
        <f>IF(F$21&gt;0,(F13/F$21)*100,0)</f>
      </c>
      <c r="P13" s="3" t="s">
        <v>45</v>
      </c>
      <c r="Q13" s="10"/>
      <c r="R13" s="25">
        <v>364258</v>
      </c>
      <c r="S13" s="24">
        <f>IF(R$15&gt;0,(R13/R$15)*100,0)</f>
      </c>
    </row>
    <row r="14">
      <c r="A14" s="10" t="s">
        <v>30</v>
      </c>
      <c r="B14" s="23">
        <v>21</v>
      </c>
      <c r="C14" s="24">
        <f>IF(B$21&gt;0,(B14/B$21)*100,0)</f>
      </c>
      <c r="D14" s="25">
        <v>67.03</v>
      </c>
      <c r="E14" s="24">
        <f>IF(D$21&gt;0,(D14/D$21)*100,0)</f>
      </c>
      <c r="F14" s="23">
        <v>8532</v>
      </c>
      <c r="G14" s="24">
        <f>IF(F$21&gt;0,(F14/F$21)*100,0)</f>
      </c>
      <c r="P14" s="3" t="s">
        <v>46</v>
      </c>
      <c r="Q14" s="10"/>
      <c r="R14" s="25">
        <v>517308</v>
      </c>
      <c r="S14" s="24">
        <f>IF(R$15&gt;0,(R14/R$15)*100,0)</f>
      </c>
    </row>
    <row r="15">
      <c r="A15" s="10" t="s">
        <v>31</v>
      </c>
      <c r="B15" s="23">
        <v>19</v>
      </c>
      <c r="C15" s="24">
        <f>IF(B$21&gt;0,(B15/B$21)*100,0)</f>
      </c>
      <c r="D15" s="25">
        <v>67.24</v>
      </c>
      <c r="E15" s="24">
        <f>IF(D$21&gt;0,(D15/D$21)*100,0)</f>
      </c>
      <c r="F15" s="23">
        <v>7787</v>
      </c>
      <c r="G15" s="24">
        <f>IF(F$21&gt;0,(F15/F$21)*100,0)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48</v>
      </c>
      <c r="B16" s="23">
        <v>2</v>
      </c>
      <c r="C16" s="24">
        <f>IF(B$21&gt;0,(B16/B$21)*100,0)</f>
      </c>
      <c r="D16" s="25">
        <v>7.34</v>
      </c>
      <c r="E16" s="24">
        <f>IF(D$21&gt;0,(D16/D$21)*100,0)</f>
      </c>
      <c r="F16" s="23">
        <v>914</v>
      </c>
      <c r="G16" s="24">
        <f>IF(F$21&gt;0,(F16/F$21)*100,0)</f>
      </c>
    </row>
    <row r="17">
      <c r="A17" s="10" t="s">
        <v>32</v>
      </c>
      <c r="B17" s="23">
        <v>16</v>
      </c>
      <c r="C17" s="24">
        <f>IF(B$21&gt;0,(B17/B$21)*100,0)</f>
      </c>
      <c r="D17" s="25">
        <v>64.86</v>
      </c>
      <c r="E17" s="24">
        <f>IF(D$21&gt;0,(D17/D$21)*100,0)</f>
      </c>
      <c r="F17" s="23">
        <v>6768</v>
      </c>
      <c r="G17" s="24">
        <f>IF(F$21&gt;0,(F17/F$21)*100,0)</f>
      </c>
    </row>
    <row r="18">
      <c r="A18" s="10" t="s">
        <v>33</v>
      </c>
      <c r="B18" s="23">
        <v>57</v>
      </c>
      <c r="C18" s="24">
        <f>IF(B$21&gt;0,(B18/B$21)*100,0)</f>
      </c>
      <c r="D18" s="25">
        <v>287.83</v>
      </c>
      <c r="E18" s="24">
        <f>IF(D$21&gt;0,(D18/D$21)*100,0)</f>
      </c>
      <c r="F18" s="23">
        <v>32644</v>
      </c>
      <c r="G18" s="24">
        <f>IF(F$21&gt;0,(F18/F$21)*100,0)</f>
      </c>
    </row>
    <row r="19">
      <c r="A19" s="10" t="s">
        <v>49</v>
      </c>
      <c r="B19" s="23">
        <v>2</v>
      </c>
      <c r="C19" s="24">
        <f>IF(B$21&gt;0,(B19/B$21)*100,0)</f>
      </c>
      <c r="D19" s="25">
        <v>11.06</v>
      </c>
      <c r="E19" s="24">
        <f>IF(D$21&gt;0,(D19/D$21)*100,0)</f>
      </c>
      <c r="F19" s="23">
        <v>1554</v>
      </c>
      <c r="G19" s="24">
        <f>IF(F$21&gt;0,(F19/F$21)*100,0)</f>
      </c>
    </row>
    <row r="20">
      <c r="A20" s="10" t="s">
        <v>34</v>
      </c>
      <c r="B20" s="23">
        <v>7</v>
      </c>
      <c r="C20" s="24">
        <f>IF(B$21&gt;0,(B20/B$21)*100,0)</f>
      </c>
      <c r="D20" s="25">
        <v>42.25</v>
      </c>
      <c r="E20" s="24">
        <f>IF(D$21&gt;0,(D20/D$21)*100,0)</f>
      </c>
      <c r="F20" s="23">
        <v>6849</v>
      </c>
      <c r="G20" s="24">
        <f>IF(F$21&gt;0,(F20/F$21)*100,0)</f>
      </c>
    </row>
    <row r="21">
      <c r="A21" s="9" t="s">
        <v>11</v>
      </c>
      <c r="B21" s="26">
        <f>SUM(B3:B20)</f>
      </c>
      <c r="C21" s="27">
        <f>SUM(C3:C20)</f>
      </c>
      <c r="D21" s="28">
        <f>SUM(D3:D20)</f>
      </c>
      <c r="E21" s="27">
        <f>SUM(E3:E20)</f>
      </c>
      <c r="F21" s="26">
        <f>SUM(F3:F20)</f>
      </c>
      <c r="G21" s="27">
        <f>SUM(G3:G20)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25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50</v>
      </c>
    </row>
    <row r="2">
      <c r="A2" s="10"/>
      <c r="B2" s="31" t="s">
        <v>51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52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53</v>
      </c>
      <c r="AA2" s="33" t="s">
        <v>54</v>
      </c>
      <c r="AB2" s="33" t="s">
        <v>55</v>
      </c>
      <c r="AC2" s="33" t="s">
        <v>56</v>
      </c>
    </row>
    <row r="3">
      <c r="A3" s="10"/>
      <c r="B3" s="33" t="s">
        <v>57</v>
      </c>
      <c r="C3" s="10"/>
      <c r="D3" s="10"/>
      <c r="E3" s="10"/>
      <c r="F3" s="10"/>
      <c r="G3" s="10"/>
      <c r="H3" s="33" t="s">
        <v>58</v>
      </c>
      <c r="I3" s="10"/>
      <c r="J3" s="10"/>
      <c r="K3" s="10"/>
      <c r="L3" s="10"/>
      <c r="M3" s="10"/>
      <c r="N3" s="33" t="s">
        <v>57</v>
      </c>
      <c r="O3" s="10"/>
      <c r="P3" s="10"/>
      <c r="Q3" s="10"/>
      <c r="R3" s="10"/>
      <c r="S3" s="10"/>
      <c r="T3" s="33" t="s">
        <v>58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45</v>
      </c>
      <c r="C4" s="10"/>
      <c r="D4" s="10"/>
      <c r="E4" s="35" t="s">
        <v>46</v>
      </c>
      <c r="F4" s="10"/>
      <c r="G4" s="10"/>
      <c r="H4" s="34" t="s">
        <v>45</v>
      </c>
      <c r="I4" s="10"/>
      <c r="J4" s="10"/>
      <c r="K4" s="35" t="s">
        <v>46</v>
      </c>
      <c r="L4" s="10"/>
      <c r="M4" s="10"/>
      <c r="N4" s="34" t="s">
        <v>45</v>
      </c>
      <c r="O4" s="10"/>
      <c r="P4" s="10"/>
      <c r="Q4" s="35" t="s">
        <v>46</v>
      </c>
      <c r="R4" s="10"/>
      <c r="S4" s="10"/>
      <c r="T4" s="34" t="s">
        <v>45</v>
      </c>
      <c r="U4" s="10"/>
      <c r="V4" s="10"/>
      <c r="W4" s="35" t="s">
        <v>46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40</v>
      </c>
      <c r="C5" s="33" t="s">
        <v>36</v>
      </c>
      <c r="D5" s="33" t="s">
        <v>41</v>
      </c>
      <c r="E5" s="33" t="s">
        <v>40</v>
      </c>
      <c r="F5" s="33" t="s">
        <v>36</v>
      </c>
      <c r="G5" s="33" t="s">
        <v>41</v>
      </c>
      <c r="H5" s="33" t="s">
        <v>40</v>
      </c>
      <c r="I5" s="33" t="s">
        <v>36</v>
      </c>
      <c r="J5" s="33" t="s">
        <v>41</v>
      </c>
      <c r="K5" s="33" t="s">
        <v>40</v>
      </c>
      <c r="L5" s="33" t="s">
        <v>36</v>
      </c>
      <c r="M5" s="33" t="s">
        <v>41</v>
      </c>
      <c r="N5" s="33" t="s">
        <v>40</v>
      </c>
      <c r="O5" s="33" t="s">
        <v>36</v>
      </c>
      <c r="P5" s="33" t="s">
        <v>41</v>
      </c>
      <c r="Q5" s="33" t="s">
        <v>40</v>
      </c>
      <c r="R5" s="33" t="s">
        <v>36</v>
      </c>
      <c r="S5" s="33" t="s">
        <v>41</v>
      </c>
      <c r="T5" s="33" t="s">
        <v>40</v>
      </c>
      <c r="U5" s="33" t="s">
        <v>36</v>
      </c>
      <c r="V5" s="33" t="s">
        <v>41</v>
      </c>
      <c r="W5" s="33" t="s">
        <v>40</v>
      </c>
      <c r="X5" s="33" t="s">
        <v>36</v>
      </c>
      <c r="Y5" s="33" t="s">
        <v>41</v>
      </c>
      <c r="Z5" s="10"/>
      <c r="AA5" s="10"/>
      <c r="AB5" s="10"/>
      <c r="AC5" s="10"/>
    </row>
    <row r="6">
      <c r="A6" s="3" t="s">
        <v>12</v>
      </c>
      <c r="B6" s="36">
        <v>836</v>
      </c>
      <c r="C6" s="37">
        <v>870.03</v>
      </c>
      <c r="D6" s="36">
        <v>79969</v>
      </c>
      <c r="E6" s="36">
        <v>1010</v>
      </c>
      <c r="F6" s="37">
        <v>1061.62</v>
      </c>
      <c r="G6" s="36">
        <v>93131</v>
      </c>
      <c r="H6" s="10"/>
      <c r="I6" s="10"/>
      <c r="J6" s="10"/>
      <c r="K6" s="36">
        <v>33</v>
      </c>
      <c r="L6" s="37">
        <v>34.68</v>
      </c>
      <c r="M6" s="36">
        <v>3349</v>
      </c>
      <c r="N6" s="36">
        <v>489</v>
      </c>
      <c r="O6" s="37">
        <v>507.83</v>
      </c>
      <c r="P6" s="36">
        <v>49081</v>
      </c>
      <c r="Q6" s="36">
        <v>665</v>
      </c>
      <c r="R6" s="37">
        <v>699.54</v>
      </c>
      <c r="S6" s="36">
        <v>69471</v>
      </c>
      <c r="T6" s="10"/>
      <c r="U6" s="10"/>
      <c r="V6" s="10"/>
      <c r="W6" s="36">
        <v>1</v>
      </c>
      <c r="X6" s="37">
        <v>1.1</v>
      </c>
      <c r="Y6" s="36">
        <v>130</v>
      </c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19</v>
      </c>
      <c r="B7" s="36">
        <v>12</v>
      </c>
      <c r="C7" s="37">
        <v>13.77</v>
      </c>
      <c r="D7" s="36">
        <v>1187</v>
      </c>
      <c r="E7" s="36">
        <v>38</v>
      </c>
      <c r="F7" s="37">
        <v>43.44</v>
      </c>
      <c r="G7" s="36">
        <v>3566</v>
      </c>
      <c r="H7" s="10"/>
      <c r="I7" s="10"/>
      <c r="J7" s="10"/>
      <c r="K7" s="36">
        <v>17</v>
      </c>
      <c r="L7" s="37">
        <v>19.46</v>
      </c>
      <c r="M7" s="36">
        <v>1901</v>
      </c>
      <c r="N7" s="36">
        <v>19</v>
      </c>
      <c r="O7" s="37">
        <v>21.5</v>
      </c>
      <c r="P7" s="36">
        <v>2433</v>
      </c>
      <c r="Q7" s="36">
        <v>55</v>
      </c>
      <c r="R7" s="37">
        <v>62.14</v>
      </c>
      <c r="S7" s="36">
        <v>6300</v>
      </c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20</v>
      </c>
      <c r="B8" s="36">
        <v>267</v>
      </c>
      <c r="C8" s="37">
        <v>328.26</v>
      </c>
      <c r="D8" s="36">
        <v>27543</v>
      </c>
      <c r="E8" s="36">
        <v>434</v>
      </c>
      <c r="F8" s="37">
        <v>538.77</v>
      </c>
      <c r="G8" s="36">
        <v>43441</v>
      </c>
      <c r="H8" s="10"/>
      <c r="I8" s="10"/>
      <c r="J8" s="10"/>
      <c r="K8" s="36">
        <v>9</v>
      </c>
      <c r="L8" s="37">
        <v>11.39</v>
      </c>
      <c r="M8" s="36">
        <v>1107</v>
      </c>
      <c r="N8" s="36">
        <v>2</v>
      </c>
      <c r="O8" s="37">
        <v>2.48</v>
      </c>
      <c r="P8" s="36">
        <v>257</v>
      </c>
      <c r="Q8" s="36">
        <v>20</v>
      </c>
      <c r="R8" s="37">
        <v>25.13</v>
      </c>
      <c r="S8" s="36">
        <v>2373</v>
      </c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21</v>
      </c>
      <c r="B9" s="36">
        <v>6</v>
      </c>
      <c r="C9" s="37">
        <v>8.42</v>
      </c>
      <c r="D9" s="36">
        <v>693</v>
      </c>
      <c r="E9" s="36">
        <v>5</v>
      </c>
      <c r="F9" s="37">
        <v>6.87</v>
      </c>
      <c r="G9" s="36">
        <v>525</v>
      </c>
      <c r="H9" s="10"/>
      <c r="I9" s="10"/>
      <c r="J9" s="10"/>
      <c r="K9" s="36">
        <v>16</v>
      </c>
      <c r="L9" s="37">
        <v>22.56</v>
      </c>
      <c r="M9" s="36">
        <v>2130</v>
      </c>
      <c r="N9" s="36">
        <v>1</v>
      </c>
      <c r="O9" s="37">
        <v>1.37</v>
      </c>
      <c r="P9" s="36">
        <v>145</v>
      </c>
      <c r="Q9" s="36">
        <v>23</v>
      </c>
      <c r="R9" s="37">
        <v>31.36</v>
      </c>
      <c r="S9" s="36">
        <v>3170</v>
      </c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22</v>
      </c>
      <c r="B10" s="36">
        <v>710</v>
      </c>
      <c r="C10" s="37">
        <v>1083.41</v>
      </c>
      <c r="D10" s="36">
        <v>100354</v>
      </c>
      <c r="E10" s="36">
        <v>393</v>
      </c>
      <c r="F10" s="37">
        <v>602.78</v>
      </c>
      <c r="G10" s="36">
        <v>56308</v>
      </c>
      <c r="H10" s="10"/>
      <c r="I10" s="10"/>
      <c r="J10" s="10"/>
      <c r="K10" s="36">
        <v>21</v>
      </c>
      <c r="L10" s="37">
        <v>32.33</v>
      </c>
      <c r="M10" s="36">
        <v>3364</v>
      </c>
      <c r="N10" s="36">
        <v>426</v>
      </c>
      <c r="O10" s="37">
        <v>649.01</v>
      </c>
      <c r="P10" s="36">
        <v>64324</v>
      </c>
      <c r="Q10" s="36">
        <v>266</v>
      </c>
      <c r="R10" s="37">
        <v>407.74</v>
      </c>
      <c r="S10" s="36">
        <v>41396</v>
      </c>
      <c r="T10" s="10"/>
      <c r="U10" s="10"/>
      <c r="V10" s="10"/>
      <c r="W10" s="36">
        <v>2</v>
      </c>
      <c r="X10" s="37">
        <v>3.1</v>
      </c>
      <c r="Y10" s="36">
        <v>365</v>
      </c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24</v>
      </c>
      <c r="B11" s="36">
        <v>2</v>
      </c>
      <c r="C11" s="37">
        <v>3.23</v>
      </c>
      <c r="D11" s="36">
        <v>289</v>
      </c>
      <c r="E11" s="36">
        <v>6</v>
      </c>
      <c r="F11" s="37">
        <v>9.75</v>
      </c>
      <c r="G11" s="36">
        <v>819</v>
      </c>
      <c r="H11" s="10"/>
      <c r="I11" s="10"/>
      <c r="J11" s="10"/>
      <c r="K11" s="36">
        <v>30</v>
      </c>
      <c r="L11" s="37">
        <v>52.69</v>
      </c>
      <c r="M11" s="36">
        <v>5333</v>
      </c>
      <c r="N11" s="36">
        <v>3</v>
      </c>
      <c r="O11" s="37">
        <v>5.53</v>
      </c>
      <c r="P11" s="36">
        <v>598</v>
      </c>
      <c r="Q11" s="36">
        <v>43</v>
      </c>
      <c r="R11" s="37">
        <v>76.64</v>
      </c>
      <c r="S11" s="36">
        <v>7738</v>
      </c>
      <c r="T11" s="10"/>
      <c r="U11" s="10"/>
      <c r="V11" s="10"/>
      <c r="W11" s="36">
        <v>1</v>
      </c>
      <c r="X11" s="37">
        <v>1.9</v>
      </c>
      <c r="Y11" s="36">
        <v>229</v>
      </c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25</v>
      </c>
      <c r="B12" s="36">
        <v>48</v>
      </c>
      <c r="C12" s="37">
        <v>97.38</v>
      </c>
      <c r="D12" s="36">
        <v>9609</v>
      </c>
      <c r="E12" s="36">
        <v>30</v>
      </c>
      <c r="F12" s="37">
        <v>60.86</v>
      </c>
      <c r="G12" s="36">
        <v>5434</v>
      </c>
      <c r="H12" s="10"/>
      <c r="I12" s="10"/>
      <c r="J12" s="10"/>
      <c r="K12" s="36">
        <v>13</v>
      </c>
      <c r="L12" s="37">
        <v>26.77</v>
      </c>
      <c r="M12" s="36">
        <v>3456</v>
      </c>
      <c r="N12" s="36">
        <v>77</v>
      </c>
      <c r="O12" s="37">
        <v>155.85</v>
      </c>
      <c r="P12" s="36">
        <v>15298</v>
      </c>
      <c r="Q12" s="36">
        <v>120</v>
      </c>
      <c r="R12" s="37">
        <v>245.12</v>
      </c>
      <c r="S12" s="36">
        <v>26785</v>
      </c>
      <c r="T12" s="10"/>
      <c r="U12" s="10"/>
      <c r="V12" s="10"/>
      <c r="W12" s="36">
        <v>5</v>
      </c>
      <c r="X12" s="37">
        <v>10.2</v>
      </c>
      <c r="Y12" s="36">
        <v>1360</v>
      </c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26</v>
      </c>
      <c r="B13" s="36">
        <v>2</v>
      </c>
      <c r="C13" s="37">
        <v>4.43</v>
      </c>
      <c r="D13" s="36">
        <v>356</v>
      </c>
      <c r="E13" s="36">
        <v>1</v>
      </c>
      <c r="F13" s="37">
        <v>2.11</v>
      </c>
      <c r="G13" s="36">
        <v>211</v>
      </c>
      <c r="H13" s="10"/>
      <c r="I13" s="10"/>
      <c r="J13" s="10"/>
      <c r="K13" s="36">
        <v>14</v>
      </c>
      <c r="L13" s="37">
        <v>30.53</v>
      </c>
      <c r="M13" s="36">
        <v>3654</v>
      </c>
      <c r="N13" s="36">
        <v>1</v>
      </c>
      <c r="O13" s="37">
        <v>2.21</v>
      </c>
      <c r="P13" s="36">
        <v>280</v>
      </c>
      <c r="Q13" s="36">
        <v>25</v>
      </c>
      <c r="R13" s="37">
        <v>55.21</v>
      </c>
      <c r="S13" s="36">
        <v>5936</v>
      </c>
      <c r="T13" s="10"/>
      <c r="U13" s="10"/>
      <c r="V13" s="10"/>
      <c r="W13" s="36">
        <v>3</v>
      </c>
      <c r="X13" s="37">
        <v>6.69</v>
      </c>
      <c r="Y13" s="36">
        <v>1115</v>
      </c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27</v>
      </c>
      <c r="B14" s="36">
        <v>9</v>
      </c>
      <c r="C14" s="37">
        <v>22.64</v>
      </c>
      <c r="D14" s="36">
        <v>1914</v>
      </c>
      <c r="E14" s="36">
        <v>9</v>
      </c>
      <c r="F14" s="37">
        <v>23.01</v>
      </c>
      <c r="G14" s="36">
        <v>2089</v>
      </c>
      <c r="H14" s="10"/>
      <c r="I14" s="10"/>
      <c r="J14" s="10"/>
      <c r="K14" s="36">
        <v>15</v>
      </c>
      <c r="L14" s="37">
        <v>38.32</v>
      </c>
      <c r="M14" s="36">
        <v>4578</v>
      </c>
      <c r="N14" s="36">
        <v>12</v>
      </c>
      <c r="O14" s="37">
        <v>30.17</v>
      </c>
      <c r="P14" s="36">
        <v>3108</v>
      </c>
      <c r="Q14" s="36">
        <v>10</v>
      </c>
      <c r="R14" s="37">
        <v>25.25</v>
      </c>
      <c r="S14" s="36">
        <v>2852</v>
      </c>
      <c r="T14" s="10"/>
      <c r="U14" s="10"/>
      <c r="V14" s="10"/>
      <c r="W14" s="36">
        <v>2</v>
      </c>
      <c r="X14" s="37">
        <v>5.09</v>
      </c>
      <c r="Y14" s="36">
        <v>677</v>
      </c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28</v>
      </c>
      <c r="B15" s="10"/>
      <c r="C15" s="10"/>
      <c r="D15" s="10"/>
      <c r="E15" s="36">
        <v>1</v>
      </c>
      <c r="F15" s="37">
        <v>2.61</v>
      </c>
      <c r="G15" s="36">
        <v>149</v>
      </c>
      <c r="H15" s="10"/>
      <c r="I15" s="10"/>
      <c r="J15" s="10"/>
      <c r="K15" s="36">
        <v>6</v>
      </c>
      <c r="L15" s="37">
        <v>16.22</v>
      </c>
      <c r="M15" s="36">
        <v>2022</v>
      </c>
      <c r="N15" s="36">
        <v>1</v>
      </c>
      <c r="O15" s="37">
        <v>2.92</v>
      </c>
      <c r="P15" s="36">
        <v>350</v>
      </c>
      <c r="Q15" s="36">
        <v>2</v>
      </c>
      <c r="R15" s="37">
        <v>5.89</v>
      </c>
      <c r="S15" s="36">
        <v>666</v>
      </c>
      <c r="T15" s="10"/>
      <c r="U15" s="10"/>
      <c r="V15" s="10"/>
      <c r="W15" s="36">
        <v>2</v>
      </c>
      <c r="X15" s="37">
        <v>5.81</v>
      </c>
      <c r="Y15" s="36">
        <v>1139</v>
      </c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29</v>
      </c>
      <c r="B16" s="36">
        <v>5</v>
      </c>
      <c r="C16" s="37">
        <v>15.06</v>
      </c>
      <c r="D16" s="36">
        <v>1310</v>
      </c>
      <c r="E16" s="36">
        <v>1</v>
      </c>
      <c r="F16" s="37">
        <v>3.05</v>
      </c>
      <c r="G16" s="36">
        <v>226</v>
      </c>
      <c r="H16" s="10"/>
      <c r="I16" s="10"/>
      <c r="J16" s="10"/>
      <c r="K16" s="36">
        <v>4</v>
      </c>
      <c r="L16" s="37">
        <v>12.15</v>
      </c>
      <c r="M16" s="36">
        <v>1565</v>
      </c>
      <c r="N16" s="36">
        <v>5</v>
      </c>
      <c r="O16" s="37">
        <v>15.13</v>
      </c>
      <c r="P16" s="36">
        <v>1524</v>
      </c>
      <c r="Q16" s="36">
        <v>43</v>
      </c>
      <c r="R16" s="37">
        <v>131.21</v>
      </c>
      <c r="S16" s="36">
        <v>14775</v>
      </c>
      <c r="T16" s="10"/>
      <c r="U16" s="10"/>
      <c r="V16" s="10"/>
      <c r="W16" s="36">
        <v>3</v>
      </c>
      <c r="X16" s="37">
        <v>9.09</v>
      </c>
      <c r="Y16" s="36">
        <v>1510</v>
      </c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30</v>
      </c>
      <c r="B17" s="10"/>
      <c r="C17" s="10"/>
      <c r="D17" s="10"/>
      <c r="E17" s="10"/>
      <c r="F17" s="10"/>
      <c r="G17" s="10"/>
      <c r="H17" s="10"/>
      <c r="I17" s="10"/>
      <c r="J17" s="10"/>
      <c r="K17" s="36">
        <v>15</v>
      </c>
      <c r="L17" s="37">
        <v>48.21</v>
      </c>
      <c r="M17" s="36">
        <v>6233</v>
      </c>
      <c r="N17" s="10"/>
      <c r="O17" s="10"/>
      <c r="P17" s="10"/>
      <c r="Q17" s="36">
        <v>6</v>
      </c>
      <c r="R17" s="37">
        <v>18.82</v>
      </c>
      <c r="S17" s="36">
        <v>2299</v>
      </c>
      <c r="T17" s="10"/>
      <c r="U17" s="10"/>
      <c r="V17" s="10"/>
      <c r="W17" s="10"/>
      <c r="X17" s="10"/>
      <c r="Y17" s="10"/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31</v>
      </c>
      <c r="B18" s="36">
        <v>2</v>
      </c>
      <c r="C18" s="37">
        <v>7.07</v>
      </c>
      <c r="D18" s="36">
        <v>566</v>
      </c>
      <c r="E18" s="36">
        <v>2</v>
      </c>
      <c r="F18" s="37">
        <v>7.06</v>
      </c>
      <c r="G18" s="36">
        <v>672</v>
      </c>
      <c r="H18" s="10"/>
      <c r="I18" s="10"/>
      <c r="J18" s="10"/>
      <c r="K18" s="36">
        <v>3</v>
      </c>
      <c r="L18" s="37">
        <v>10.61</v>
      </c>
      <c r="M18" s="36">
        <v>1400</v>
      </c>
      <c r="N18" s="10"/>
      <c r="O18" s="10"/>
      <c r="P18" s="10"/>
      <c r="Q18" s="36">
        <v>12</v>
      </c>
      <c r="R18" s="37">
        <v>42.5</v>
      </c>
      <c r="S18" s="36">
        <v>5149</v>
      </c>
      <c r="T18" s="10"/>
      <c r="U18" s="10"/>
      <c r="V18" s="10"/>
      <c r="W18" s="10"/>
      <c r="X18" s="10"/>
      <c r="Y18" s="10"/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48</v>
      </c>
      <c r="B19" s="10"/>
      <c r="C19" s="10"/>
      <c r="D19" s="10"/>
      <c r="E19" s="10"/>
      <c r="F19" s="10"/>
      <c r="G19" s="10"/>
      <c r="H19" s="10"/>
      <c r="I19" s="10"/>
      <c r="J19" s="10"/>
      <c r="K19" s="36">
        <v>2</v>
      </c>
      <c r="L19" s="37">
        <v>7.34</v>
      </c>
      <c r="M19" s="36">
        <v>914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32</v>
      </c>
      <c r="B20" s="36">
        <v>1</v>
      </c>
      <c r="C20" s="37">
        <v>4.03</v>
      </c>
      <c r="D20" s="36">
        <v>326</v>
      </c>
      <c r="E20" s="36">
        <v>4</v>
      </c>
      <c r="F20" s="37">
        <v>16.29</v>
      </c>
      <c r="G20" s="36">
        <v>1010</v>
      </c>
      <c r="H20" s="10"/>
      <c r="I20" s="10"/>
      <c r="J20" s="10"/>
      <c r="K20" s="36">
        <v>4</v>
      </c>
      <c r="L20" s="37">
        <v>16.21</v>
      </c>
      <c r="M20" s="36">
        <v>1986</v>
      </c>
      <c r="N20" s="36">
        <v>1</v>
      </c>
      <c r="O20" s="37">
        <v>4.01</v>
      </c>
      <c r="P20" s="36">
        <v>462</v>
      </c>
      <c r="Q20" s="36">
        <v>6</v>
      </c>
      <c r="R20" s="37">
        <v>24.32</v>
      </c>
      <c r="S20" s="36">
        <v>2983</v>
      </c>
      <c r="T20" s="10"/>
      <c r="U20" s="10"/>
      <c r="V20" s="10"/>
      <c r="W20" s="10"/>
      <c r="X20" s="10"/>
      <c r="Y20" s="10"/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33</v>
      </c>
      <c r="B21" s="36">
        <v>2</v>
      </c>
      <c r="C21" s="37">
        <v>10.06</v>
      </c>
      <c r="D21" s="36">
        <v>900</v>
      </c>
      <c r="E21" s="36">
        <v>2</v>
      </c>
      <c r="F21" s="37">
        <v>10.12</v>
      </c>
      <c r="G21" s="36">
        <v>804</v>
      </c>
      <c r="H21" s="10"/>
      <c r="I21" s="10"/>
      <c r="J21" s="10"/>
      <c r="K21" s="36">
        <v>6</v>
      </c>
      <c r="L21" s="37">
        <v>30.31</v>
      </c>
      <c r="M21" s="36">
        <v>3604</v>
      </c>
      <c r="N21" s="36">
        <v>1</v>
      </c>
      <c r="O21" s="37">
        <v>5.03</v>
      </c>
      <c r="P21" s="36">
        <v>599</v>
      </c>
      <c r="Q21" s="36">
        <v>41</v>
      </c>
      <c r="R21" s="37">
        <v>207.16</v>
      </c>
      <c r="S21" s="36">
        <v>22256</v>
      </c>
      <c r="T21" s="10"/>
      <c r="U21" s="10"/>
      <c r="V21" s="10"/>
      <c r="W21" s="36">
        <v>5</v>
      </c>
      <c r="X21" s="37">
        <v>25.15</v>
      </c>
      <c r="Y21" s="36">
        <v>4482</v>
      </c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49</v>
      </c>
      <c r="B22" s="10"/>
      <c r="C22" s="10"/>
      <c r="D22" s="10"/>
      <c r="E22" s="10"/>
      <c r="F22" s="10"/>
      <c r="G22" s="10"/>
      <c r="H22" s="10"/>
      <c r="I22" s="10"/>
      <c r="J22" s="10"/>
      <c r="K22" s="36">
        <v>2</v>
      </c>
      <c r="L22" s="37">
        <v>11.06</v>
      </c>
      <c r="M22" s="36">
        <v>1554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34</v>
      </c>
      <c r="B23" s="10"/>
      <c r="C23" s="10"/>
      <c r="D23" s="10"/>
      <c r="E23" s="10"/>
      <c r="F23" s="10"/>
      <c r="G23" s="10"/>
      <c r="H23" s="10"/>
      <c r="I23" s="10"/>
      <c r="J23" s="10"/>
      <c r="K23" s="36">
        <v>4</v>
      </c>
      <c r="L23" s="37">
        <v>24.11</v>
      </c>
      <c r="M23" s="36">
        <v>3677</v>
      </c>
      <c r="N23" s="10"/>
      <c r="O23" s="10"/>
      <c r="P23" s="10"/>
      <c r="Q23" s="36">
        <v>2</v>
      </c>
      <c r="R23" s="37">
        <v>12.08</v>
      </c>
      <c r="S23" s="36">
        <v>1111</v>
      </c>
      <c r="T23" s="10"/>
      <c r="U23" s="10"/>
      <c r="V23" s="10"/>
      <c r="W23" s="36">
        <v>1</v>
      </c>
      <c r="X23" s="37">
        <v>6.06</v>
      </c>
      <c r="Y23" s="36">
        <v>2062</v>
      </c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8" t="s">
        <v>59</v>
      </c>
      <c r="B24" s="39">
        <f>SUM(B6:B23)</f>
      </c>
      <c r="C24" s="39">
        <f>SUM(C6:C23)</f>
      </c>
      <c r="D24" s="40">
        <f>SUM(D6:D23)</f>
      </c>
      <c r="E24" s="39">
        <f>SUM(E6:E23)</f>
      </c>
      <c r="F24" s="39">
        <f>SUM(F6:F23)</f>
      </c>
      <c r="G24" s="40">
        <f>SUM(G6:G23)</f>
      </c>
      <c r="H24" s="39">
        <f>SUM(H6:H23)</f>
      </c>
      <c r="I24" s="39">
        <f>SUM(I6:I23)</f>
      </c>
      <c r="J24" s="40">
        <f>SUM(J6:J23)</f>
      </c>
      <c r="K24" s="39">
        <f>SUM(K6:K23)</f>
      </c>
      <c r="L24" s="39">
        <f>SUM(L6:L23)</f>
      </c>
      <c r="M24" s="40">
        <f>SUM(M6:M23)</f>
      </c>
      <c r="N24" s="39">
        <f>SUM(N6:N23)</f>
      </c>
      <c r="O24" s="39">
        <f>SUM(O6:O23)</f>
      </c>
      <c r="P24" s="40">
        <f>SUM(P6:P23)</f>
      </c>
      <c r="Q24" s="39">
        <f>SUM(Q6:Q23)</f>
      </c>
      <c r="R24" s="39">
        <f>SUM(R6:R23)</f>
      </c>
      <c r="S24" s="40">
        <f>SUM(S6:S23)</f>
      </c>
      <c r="T24" s="39">
        <f>SUM(T6:T23)</f>
      </c>
      <c r="U24" s="39">
        <f>SUM(U6:U23)</f>
      </c>
      <c r="V24" s="40">
        <f>SUM(V6:V23)</f>
      </c>
      <c r="W24" s="39">
        <f>SUM(W6:W23)</f>
      </c>
      <c r="X24" s="39">
        <f>SUM(X6:X23)</f>
      </c>
      <c r="Y24" s="40">
        <f>SUM(Y6:Y23)</f>
      </c>
      <c r="Z24" s="41">
        <f>SUM(Z6:Z23)</f>
      </c>
      <c r="AA24" s="42">
        <f>SUM(AA6:AA23)</f>
      </c>
      <c r="AB24" s="41">
        <f>SUM(AB6:AB23)</f>
      </c>
      <c r="AC24" s="43">
        <f>IF(AA24&gt;0,AB24/AA24,0)</f>
      </c>
    </row>
    <row r="25">
      <c r="A25" s="38" t="s">
        <v>3</v>
      </c>
      <c r="B25" s="44">
        <f>IF(Z24&gt;0,B24/Z24*100,0)</f>
      </c>
      <c r="C25" s="44">
        <f>IF(AB24&gt;0,C24/AB24*100,0)</f>
      </c>
      <c r="D25" s="44">
        <f>IF(AA24&gt;0,D24/AA24*100,0)</f>
      </c>
      <c r="E25" s="44">
        <f>IF(Z24&gt;0,E24/Z24*100,0)</f>
      </c>
      <c r="F25" s="44">
        <f>IF(AB24&gt;0,F24/AB24*100,0)</f>
      </c>
      <c r="G25" s="44">
        <f>IF(AA24&gt;0,G24/AA24*100,0)</f>
      </c>
      <c r="H25" s="44">
        <f>IF(Z24&gt;0,H24/Z24*100,0)</f>
      </c>
      <c r="I25" s="44">
        <f>IF(AB24&gt;0,I24/AB24*100,0)</f>
      </c>
      <c r="J25" s="44">
        <f>IF(AA24&gt;0,J24/AA24*100,0)</f>
      </c>
      <c r="K25" s="44">
        <f>IF(Z24&gt;0,K24/Z24*100,0)</f>
      </c>
      <c r="L25" s="44">
        <f>IF(AB24&gt;0,L24/AB24*100,0)</f>
      </c>
      <c r="M25" s="44">
        <f>IF(AA24&gt;0,M24/AA24*100,0)</f>
      </c>
      <c r="N25" s="44">
        <f>IF(Z24&gt;0,N24/Z24*100,0)</f>
      </c>
      <c r="O25" s="44">
        <f>IF(AB24&gt;0,O24/AB24*100,0)</f>
      </c>
      <c r="P25" s="44">
        <f>IF(AA24&gt;0,P24/AA24*100,0)</f>
      </c>
      <c r="Q25" s="44">
        <f>IF(Z24&gt;0,Q24/Z24*100,0)</f>
      </c>
      <c r="R25" s="44">
        <f>IF(AB24&gt;0,R24/AB24*100,0)</f>
      </c>
      <c r="S25" s="44">
        <f>IF(AA24&gt;0,S24/AA24*100,0)</f>
      </c>
      <c r="T25" s="44">
        <f>IF(Z24&gt;0,T24/Z24*100,0)</f>
      </c>
      <c r="U25" s="44">
        <f>IF(AB24&gt;0,U24/AB24*100,0)</f>
      </c>
      <c r="V25" s="44">
        <f>IF(AA24&gt;0,V24/AA24*100,0)</f>
      </c>
      <c r="W25" s="44">
        <f>IF(Z24&gt;0,W24/Z24*100,0)</f>
      </c>
      <c r="X25" s="44">
        <f>IF(AB24&gt;0,X24/AB24*100,0)</f>
      </c>
      <c r="Y25" s="44">
        <f>IF(AA24&gt;0,Y24/AA24*100,0)</f>
      </c>
      <c r="Z25" s="44">
        <f>100.00</f>
      </c>
      <c r="AA25" s="44">
        <f>100.00</f>
      </c>
      <c r="AB25" s="44">
        <f>100.00</f>
      </c>
      <c r="AC25" s="45" t="s">
        <v>47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46" t="s">
        <v>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9" t="s">
        <v>4</v>
      </c>
      <c r="B2" s="15" t="s">
        <v>2</v>
      </c>
      <c r="C2" s="15" t="s">
        <v>3</v>
      </c>
      <c r="D2" s="47" t="s">
        <v>61</v>
      </c>
      <c r="E2" s="47" t="s">
        <v>3</v>
      </c>
      <c r="F2" s="48" t="s">
        <v>62</v>
      </c>
      <c r="G2" s="48" t="s">
        <v>3</v>
      </c>
      <c r="H2" s="3" t="s">
        <v>63</v>
      </c>
      <c r="J2" s="9" t="s">
        <v>64</v>
      </c>
      <c r="K2" s="49" t="s">
        <v>2</v>
      </c>
      <c r="L2" s="49" t="s">
        <v>3</v>
      </c>
      <c r="M2" s="49" t="s">
        <v>41</v>
      </c>
      <c r="N2" s="9" t="s">
        <v>3</v>
      </c>
      <c r="P2" s="9" t="s">
        <v>65</v>
      </c>
      <c r="Q2" s="49" t="s">
        <v>2</v>
      </c>
      <c r="R2" s="49" t="s">
        <v>3</v>
      </c>
      <c r="S2" s="49" t="s">
        <v>41</v>
      </c>
      <c r="T2" s="9" t="s">
        <v>3</v>
      </c>
    </row>
    <row r="3">
      <c r="A3" s="10" t="s">
        <v>12</v>
      </c>
      <c r="B3" s="10">
        <v>3080</v>
      </c>
      <c r="C3" s="10">
        <v>47.09</v>
      </c>
      <c r="D3" s="10">
        <v>3223.215</v>
      </c>
      <c r="E3" s="10">
        <v>35.42</v>
      </c>
      <c r="F3" s="10">
        <v>299009</v>
      </c>
      <c r="G3" s="10">
        <v>33.75</v>
      </c>
      <c r="H3" s="10">
        <v>93</v>
      </c>
      <c r="J3" s="10" t="s">
        <v>13</v>
      </c>
      <c r="K3" s="10">
        <v>1900</v>
      </c>
      <c r="L3" s="10">
        <v>29.05</v>
      </c>
      <c r="M3" s="10">
        <v>226392</v>
      </c>
      <c r="N3" s="10">
        <v>25.55</v>
      </c>
      <c r="P3" s="10" t="s">
        <v>5</v>
      </c>
      <c r="Q3" s="10">
        <v>69</v>
      </c>
      <c r="R3" s="10">
        <v>1.06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2.16</v>
      </c>
      <c r="D4" s="10">
        <v>160.31</v>
      </c>
      <c r="E4" s="10">
        <v>1.76</v>
      </c>
      <c r="F4" s="10">
        <v>15387</v>
      </c>
      <c r="G4" s="10">
        <v>1.74</v>
      </c>
      <c r="H4" s="10">
        <v>96</v>
      </c>
      <c r="J4" s="10" t="s">
        <v>14</v>
      </c>
      <c r="K4" s="10">
        <v>2225</v>
      </c>
      <c r="L4" s="10">
        <v>34.02</v>
      </c>
      <c r="M4" s="10">
        <v>293877</v>
      </c>
      <c r="N4" s="10">
        <v>33.17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11.19</v>
      </c>
      <c r="D5" s="10">
        <v>906.03</v>
      </c>
      <c r="E5" s="10">
        <v>9.96</v>
      </c>
      <c r="F5" s="10">
        <v>74721</v>
      </c>
      <c r="G5" s="10">
        <v>8.43</v>
      </c>
      <c r="H5" s="10">
        <v>82</v>
      </c>
      <c r="J5" s="10" t="s">
        <v>15</v>
      </c>
      <c r="K5" s="10">
        <v>1752</v>
      </c>
      <c r="L5" s="10">
        <v>26.79</v>
      </c>
      <c r="M5" s="10">
        <v>227548</v>
      </c>
      <c r="N5" s="10">
        <v>25.68</v>
      </c>
      <c r="P5" s="10" t="s">
        <v>8</v>
      </c>
      <c r="Q5" s="10">
        <v>1256</v>
      </c>
      <c r="R5" s="10">
        <v>19.2</v>
      </c>
      <c r="S5" s="10">
        <v>216147</v>
      </c>
      <c r="T5" s="10">
        <v>24.39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0.78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5.38</v>
      </c>
      <c r="M6" s="10">
        <v>46991</v>
      </c>
      <c r="N6" s="10">
        <v>5.3</v>
      </c>
      <c r="P6" s="10" t="s">
        <v>9</v>
      </c>
      <c r="Q6" s="10">
        <v>465</v>
      </c>
      <c r="R6" s="10">
        <v>7.11</v>
      </c>
      <c r="S6" s="10">
        <v>77010</v>
      </c>
      <c r="T6" s="10">
        <v>8.69</v>
      </c>
    </row>
    <row r="7">
      <c r="A7" s="10" t="s">
        <v>22</v>
      </c>
      <c r="B7" s="10">
        <v>1818</v>
      </c>
      <c r="C7" s="10">
        <v>27.8</v>
      </c>
      <c r="D7" s="10">
        <v>2778.37</v>
      </c>
      <c r="E7" s="10">
        <v>30.53</v>
      </c>
      <c r="F7" s="10">
        <v>266111</v>
      </c>
      <c r="G7" s="10">
        <v>30.03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25.96</v>
      </c>
      <c r="S7" s="10">
        <v>198333</v>
      </c>
      <c r="T7" s="10">
        <v>22.38</v>
      </c>
    </row>
    <row r="8">
      <c r="A8" s="10" t="s">
        <v>24</v>
      </c>
      <c r="B8" s="10">
        <v>85</v>
      </c>
      <c r="C8" s="10">
        <v>1.3</v>
      </c>
      <c r="D8" s="10">
        <v>149.74</v>
      </c>
      <c r="E8" s="10">
        <v>1.65</v>
      </c>
      <c r="F8" s="10">
        <v>15006</v>
      </c>
      <c r="G8" s="10">
        <v>1.69</v>
      </c>
      <c r="H8" s="10">
        <v>100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3009</v>
      </c>
      <c r="R8" s="10">
        <v>46.01</v>
      </c>
      <c r="S8" s="10">
        <v>375917</v>
      </c>
      <c r="T8" s="10">
        <v>42.42</v>
      </c>
    </row>
    <row r="9">
      <c r="A9" s="10" t="s">
        <v>25</v>
      </c>
      <c r="B9" s="10">
        <v>296</v>
      </c>
      <c r="C9" s="10">
        <v>4.53</v>
      </c>
      <c r="D9" s="10">
        <v>602.24</v>
      </c>
      <c r="E9" s="10">
        <v>6.62</v>
      </c>
      <c r="F9" s="10">
        <v>62578</v>
      </c>
      <c r="G9" s="10">
        <v>7.06</v>
      </c>
      <c r="H9" s="10">
        <v>104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47" t="s">
        <v>59</v>
      </c>
      <c r="Q9" s="47">
        <v>6540</v>
      </c>
      <c r="R9" s="47">
        <v>100</v>
      </c>
      <c r="S9" s="47">
        <v>886080</v>
      </c>
      <c r="T9" s="47">
        <v>100</v>
      </c>
    </row>
    <row r="10">
      <c r="A10" s="10" t="s">
        <v>26</v>
      </c>
      <c r="B10" s="10">
        <v>46</v>
      </c>
      <c r="C10" s="10">
        <v>0.7</v>
      </c>
      <c r="D10" s="10">
        <v>101.18</v>
      </c>
      <c r="E10" s="10">
        <v>1.11</v>
      </c>
      <c r="F10" s="10">
        <v>11551</v>
      </c>
      <c r="G10" s="10">
        <v>1.3</v>
      </c>
      <c r="H10" s="10">
        <v>114</v>
      </c>
      <c r="J10" s="47" t="s">
        <v>59</v>
      </c>
      <c r="K10" s="47">
        <v>6280</v>
      </c>
      <c r="L10" s="47">
        <v>100</v>
      </c>
      <c r="M10" s="47">
        <v>800575</v>
      </c>
      <c r="N10" s="47">
        <v>100</v>
      </c>
    </row>
    <row r="11">
      <c r="A11" s="10" t="s">
        <v>27</v>
      </c>
      <c r="B11" s="10">
        <v>57</v>
      </c>
      <c r="C11" s="10">
        <v>0.87</v>
      </c>
      <c r="D11" s="10">
        <v>144.48</v>
      </c>
      <c r="E11" s="10">
        <v>1.59</v>
      </c>
      <c r="F11" s="10">
        <v>15218</v>
      </c>
      <c r="G11" s="10">
        <v>1.72</v>
      </c>
      <c r="H11" s="10">
        <v>105</v>
      </c>
    </row>
    <row r="12">
      <c r="A12" s="10" t="s">
        <v>28</v>
      </c>
      <c r="B12" s="10">
        <v>12</v>
      </c>
      <c r="C12" s="10">
        <v>0.18</v>
      </c>
      <c r="D12" s="10">
        <v>33.45</v>
      </c>
      <c r="E12" s="10">
        <v>0.37</v>
      </c>
      <c r="F12" s="10">
        <v>4327</v>
      </c>
      <c r="G12" s="10">
        <v>0.49</v>
      </c>
      <c r="H12" s="10">
        <v>129</v>
      </c>
    </row>
    <row r="13">
      <c r="A13" s="10" t="s">
        <v>29</v>
      </c>
      <c r="B13" s="10">
        <v>61</v>
      </c>
      <c r="C13" s="10">
        <v>0.93</v>
      </c>
      <c r="D13" s="10">
        <v>185.69</v>
      </c>
      <c r="E13" s="10">
        <v>2.04</v>
      </c>
      <c r="F13" s="10">
        <v>20910</v>
      </c>
      <c r="G13" s="10">
        <v>2.36</v>
      </c>
      <c r="H13" s="10">
        <v>113</v>
      </c>
    </row>
    <row r="14">
      <c r="A14" s="10" t="s">
        <v>30</v>
      </c>
      <c r="B14" s="10">
        <v>21</v>
      </c>
      <c r="C14" s="10">
        <v>0.32</v>
      </c>
      <c r="D14" s="10">
        <v>67.03</v>
      </c>
      <c r="E14" s="10">
        <v>0.74</v>
      </c>
      <c r="F14" s="10">
        <v>8532</v>
      </c>
      <c r="G14" s="10">
        <v>0.96</v>
      </c>
      <c r="H14" s="10">
        <v>127</v>
      </c>
    </row>
    <row r="15">
      <c r="A15" s="10" t="s">
        <v>31</v>
      </c>
      <c r="B15" s="10">
        <v>19</v>
      </c>
      <c r="C15" s="10">
        <v>0.29</v>
      </c>
      <c r="D15" s="10">
        <v>67.24</v>
      </c>
      <c r="E15" s="10">
        <v>0.74</v>
      </c>
      <c r="F15" s="10">
        <v>7787</v>
      </c>
      <c r="G15" s="10">
        <v>0.88</v>
      </c>
      <c r="H15" s="10">
        <v>116</v>
      </c>
    </row>
    <row r="16">
      <c r="A16" s="10" t="s">
        <v>48</v>
      </c>
      <c r="B16" s="10">
        <v>2</v>
      </c>
      <c r="C16" s="10">
        <v>0.03</v>
      </c>
      <c r="D16" s="10">
        <v>7.34</v>
      </c>
      <c r="E16" s="10">
        <v>0.08</v>
      </c>
      <c r="F16" s="10">
        <v>914</v>
      </c>
      <c r="G16" s="10">
        <v>0.1</v>
      </c>
      <c r="H16" s="10">
        <v>125</v>
      </c>
    </row>
    <row r="17">
      <c r="A17" s="10" t="s">
        <v>32</v>
      </c>
      <c r="B17" s="10">
        <v>16</v>
      </c>
      <c r="C17" s="10">
        <v>0.24</v>
      </c>
      <c r="D17" s="10">
        <v>64.86</v>
      </c>
      <c r="E17" s="10">
        <v>0.71</v>
      </c>
      <c r="F17" s="10">
        <v>6768</v>
      </c>
      <c r="G17" s="10">
        <v>0.76</v>
      </c>
      <c r="H17" s="10">
        <v>104</v>
      </c>
    </row>
    <row r="18">
      <c r="A18" s="10" t="s">
        <v>33</v>
      </c>
      <c r="B18" s="10">
        <v>57</v>
      </c>
      <c r="C18" s="10">
        <v>0.87</v>
      </c>
      <c r="D18" s="10">
        <v>287.83</v>
      </c>
      <c r="E18" s="10">
        <v>3.16</v>
      </c>
      <c r="F18" s="10">
        <v>32644</v>
      </c>
      <c r="G18" s="10">
        <v>3.68</v>
      </c>
      <c r="H18" s="10">
        <v>113</v>
      </c>
    </row>
    <row r="19">
      <c r="A19" s="10" t="s">
        <v>49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0.18</v>
      </c>
      <c r="H19" s="10">
        <v>141</v>
      </c>
    </row>
    <row r="20">
      <c r="A20" s="10" t="s">
        <v>34</v>
      </c>
      <c r="B20" s="10">
        <v>7</v>
      </c>
      <c r="C20" s="10">
        <v>0.11</v>
      </c>
      <c r="D20" s="10">
        <v>42.25</v>
      </c>
      <c r="E20" s="10">
        <v>0.46</v>
      </c>
      <c r="F20" s="10">
        <v>6849</v>
      </c>
      <c r="G20" s="10">
        <v>0.77</v>
      </c>
      <c r="H20" s="10">
        <v>162</v>
      </c>
    </row>
    <row r="21">
      <c r="A21" s="47" t="s">
        <v>59</v>
      </c>
      <c r="B21" s="47">
        <v>6503</v>
      </c>
      <c r="C21" s="47">
        <v>100</v>
      </c>
      <c r="D21" s="47">
        <v>8902.895</v>
      </c>
      <c r="E21" s="47">
        <v>100</v>
      </c>
      <c r="F21" s="47">
        <v>856531</v>
      </c>
      <c r="G21" s="47">
        <v>100</v>
      </c>
      <c r="H21" s="47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